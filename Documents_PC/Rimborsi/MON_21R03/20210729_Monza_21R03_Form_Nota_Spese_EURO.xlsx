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filterPrivacy="1"/>
  <xr:revisionPtr revIDLastSave="0" documentId="13_ncr:1_{C3F720CE-11CE-4AFC-AB4A-841DF36FD8B5}" xr6:coauthVersionLast="47" xr6:coauthVersionMax="47" xr10:uidLastSave="{00000000-0000-0000-0000-000000000000}"/>
  <bookViews>
    <workbookView xWindow="-38520" yWindow="-120" windowWidth="38640" windowHeight="15840" xr2:uid="{00000000-000D-0000-FFFF-FFFF00000000}"/>
  </bookViews>
  <sheets>
    <sheet name="Nota Spese" sheetId="6" r:id="rId1"/>
    <sheet name="Foglio1" sheetId="7" r:id="rId2"/>
  </sheets>
  <definedNames>
    <definedName name="costochilometrico">Foglio1!$A$1:$A$8</definedName>
    <definedName name="_xlnm.Print_Area" localSheetId="0">'Nota Spese'!$B$1:$Q$79</definedName>
    <definedName name="_xlnm.Print_Titles" localSheetId="0">'Nota Spese'!$2:$5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4" i="6" l="1"/>
  <c r="Q44" i="6" l="1"/>
  <c r="P44" i="6"/>
  <c r="Q43" i="6"/>
  <c r="P43" i="6"/>
  <c r="Q42" i="6"/>
  <c r="P42" i="6"/>
  <c r="Q41" i="6"/>
  <c r="P41" i="6"/>
  <c r="Q40" i="6"/>
  <c r="P40" i="6"/>
  <c r="Q39" i="6"/>
  <c r="P39" i="6"/>
  <c r="Q38" i="6"/>
  <c r="P38" i="6"/>
  <c r="Q37" i="6"/>
  <c r="P37" i="6"/>
  <c r="Q36" i="6"/>
  <c r="P36" i="6"/>
  <c r="Q35" i="6"/>
  <c r="P35" i="6"/>
  <c r="Q34" i="6"/>
  <c r="P34" i="6"/>
  <c r="Q33" i="6"/>
  <c r="P33" i="6"/>
  <c r="Q32" i="6"/>
  <c r="P32" i="6"/>
  <c r="Q31" i="6"/>
  <c r="P31" i="6"/>
  <c r="Q30" i="6"/>
  <c r="P30" i="6"/>
  <c r="Q29" i="6"/>
  <c r="P29" i="6"/>
  <c r="Q28" i="6"/>
  <c r="P28" i="6"/>
  <c r="Q27" i="6"/>
  <c r="P27" i="6"/>
  <c r="Q26" i="6"/>
  <c r="P26" i="6"/>
  <c r="Q25" i="6"/>
  <c r="P25" i="6"/>
  <c r="Q24" i="6"/>
  <c r="P24" i="6"/>
  <c r="Q23" i="6"/>
  <c r="P23" i="6"/>
  <c r="Q22" i="6"/>
  <c r="P22" i="6"/>
  <c r="Q21" i="6"/>
  <c r="P21" i="6"/>
  <c r="Q20" i="6"/>
  <c r="P20" i="6"/>
  <c r="Q19" i="6"/>
  <c r="P19" i="6"/>
  <c r="Q18" i="6"/>
  <c r="P18" i="6"/>
  <c r="Q17" i="6"/>
  <c r="P17" i="6"/>
  <c r="Q16" i="6"/>
  <c r="P16" i="6"/>
  <c r="Q15" i="6"/>
  <c r="P15" i="6"/>
  <c r="Q14" i="6"/>
  <c r="Q45" i="6" l="1"/>
  <c r="G45" i="6"/>
  <c r="I45" i="6"/>
  <c r="K45" i="6"/>
  <c r="Q51" i="6"/>
  <c r="P51" i="6"/>
  <c r="D45" i="6"/>
  <c r="Q65" i="6" s="1"/>
  <c r="F45" i="6"/>
  <c r="H45" i="6"/>
  <c r="J45" i="6"/>
  <c r="L45" i="6"/>
  <c r="M45" i="6"/>
  <c r="P45" i="6" l="1"/>
  <c r="P58" i="6"/>
  <c r="Q58" i="6"/>
  <c r="P72" i="6" l="1"/>
  <c r="Q72" i="6"/>
</calcChain>
</file>

<file path=xl/sharedStrings.xml><?xml version="1.0" encoding="utf-8"?>
<sst xmlns="http://schemas.openxmlformats.org/spreadsheetml/2006/main" count="76" uniqueCount="54">
  <si>
    <t>RISTORANTI</t>
  </si>
  <si>
    <t>ALBERGHI</t>
  </si>
  <si>
    <t>TOTALE</t>
  </si>
  <si>
    <t>GIORNO</t>
  </si>
  <si>
    <t>CONTANTI</t>
  </si>
  <si>
    <t>ANTICIPI</t>
  </si>
  <si>
    <t>RICEVUTO</t>
  </si>
  <si>
    <t>ALTRE SPESE SOSTENUTE IN NOME E PER CONTO DELLA SOCIETA' (NON RIENTRANTI IN SPESE DI TRASFERTA)</t>
  </si>
  <si>
    <t>RESO</t>
  </si>
  <si>
    <t>Nome e Cognome dipendente</t>
  </si>
  <si>
    <t>MOTIVAZIONE</t>
  </si>
  <si>
    <t>DESCRIZIONE</t>
  </si>
  <si>
    <t>Modello</t>
  </si>
  <si>
    <t>Targa</t>
  </si>
  <si>
    <t>Cilindrata</t>
  </si>
  <si>
    <t>Tariffa Km applicata</t>
  </si>
  <si>
    <t>DATI AUTOVETTURA</t>
  </si>
  <si>
    <t>Benzina</t>
  </si>
  <si>
    <t>Diesel</t>
  </si>
  <si>
    <t>Firma del dipendente</t>
  </si>
  <si>
    <t>Data</t>
  </si>
  <si>
    <t>Responsabile di funzione</t>
  </si>
  <si>
    <t>Nome e Cognome</t>
  </si>
  <si>
    <t>Firma</t>
  </si>
  <si>
    <t>RIMBORSO      Km</t>
  </si>
  <si>
    <t>DETTAGLIO RIMBORSO CHILOMETRICO PER UTILIZZO AUTOVETTURA PERSONALE</t>
  </si>
  <si>
    <t>TARIFFE IN VIGORE</t>
  </si>
  <si>
    <t>SALDO</t>
  </si>
  <si>
    <t>Oltre 1.600 cc</t>
  </si>
  <si>
    <t>Fino a 1.600 cc</t>
  </si>
  <si>
    <t>Fino a 1.000 cc</t>
  </si>
  <si>
    <t>mese/anno</t>
  </si>
  <si>
    <t>CARBURANTE,  PEDAGGI, TRASPORTI</t>
  </si>
  <si>
    <r>
      <t xml:space="preserve">Km percorsi          </t>
    </r>
    <r>
      <rPr>
        <sz val="14"/>
        <rFont val="Calibri"/>
        <family val="2"/>
        <scheme val="minor"/>
      </rPr>
      <t xml:space="preserve"> solo se con auto personale</t>
    </r>
  </si>
  <si>
    <t>Destinazione / Descrizione spesa</t>
  </si>
  <si>
    <t>CARTA DI CREDITO AZ.</t>
  </si>
  <si>
    <t>Commessa / Conto</t>
  </si>
  <si>
    <r>
      <t xml:space="preserve">COMMESSA
</t>
    </r>
    <r>
      <rPr>
        <b/>
        <sz val="14"/>
        <rFont val="Calibri"/>
        <family val="2"/>
        <scheme val="minor"/>
      </rPr>
      <t>(Conto: Spese di Viaggio)</t>
    </r>
  </si>
  <si>
    <t>ALTRE SPESE 
DI TRASFERTA</t>
  </si>
  <si>
    <t>Nr.</t>
  </si>
  <si>
    <t>(Compilazione a cura dell'amministrazione)</t>
  </si>
  <si>
    <r>
      <t xml:space="preserve">RENDICONTO SPESE MENSILI - EUR
</t>
    </r>
    <r>
      <rPr>
        <i/>
        <sz val="18"/>
        <rFont val="Calibri"/>
        <family val="2"/>
        <scheme val="minor"/>
      </rPr>
      <t>revisione Gen. 2020</t>
    </r>
  </si>
  <si>
    <t>RICHIESTA FATTURA AL FORNITORE 
(X)</t>
  </si>
  <si>
    <t>Di cui relativi a fatture richieste e rimborsati cash:</t>
  </si>
  <si>
    <t>Firma dipendente</t>
  </si>
  <si>
    <t>X</t>
  </si>
  <si>
    <t>Ugo Salvadori</t>
  </si>
  <si>
    <t>Pedaggio Autostradale</t>
  </si>
  <si>
    <t>VW Golf mk4</t>
  </si>
  <si>
    <t>BM562PB</t>
  </si>
  <si>
    <t>Trasferta con auto personale</t>
  </si>
  <si>
    <t>Matteo Paganini</t>
  </si>
  <si>
    <t>30-07-2021</t>
  </si>
  <si>
    <t>1918C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</si>
</sst>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\€\ * #,##0.00_-;\-\€\ * #,##0.00_-;_-\€\ * &quot;-&quot;??_-;_-@_-"/>
    <numFmt numFmtId="165" formatCode="[$-410]d\-mmm\-yy;@"/>
    <numFmt numFmtId="166" formatCode="#,##0\ &quot;€&quot;;[Red]\-\ #,##0\ &quot;€&quot;"/>
    <numFmt numFmtId="167" formatCode="#,##0.00_ ;[Red]\-#,##0.00\ "/>
  </numFmts>
  <fonts count="15" x14ac:knownFonts="1">
    <font>
      <sz val="10"/>
      <name val="Arial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20"/>
      <name val="Calibri"/>
      <family val="2"/>
      <scheme val="minor"/>
    </font>
    <font>
      <sz val="16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i/>
      <sz val="18"/>
      <name val="Calibri"/>
      <family val="2"/>
      <scheme val="minor"/>
    </font>
    <font>
      <i/>
      <sz val="18"/>
      <name val="Calibri"/>
      <family val="2"/>
      <scheme val="minor"/>
    </font>
    <font>
      <b/>
      <u/>
      <sz val="16"/>
      <name val="Calibri"/>
      <family val="2"/>
      <scheme val="minor"/>
    </font>
    <font>
      <i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22" xfId="0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/>
    </xf>
    <xf numFmtId="164" fontId="3" fillId="0" borderId="0" xfId="0" applyNumberFormat="1" applyFont="1"/>
    <xf numFmtId="0" fontId="8" fillId="0" borderId="0" xfId="0" applyFont="1"/>
    <xf numFmtId="0" fontId="3" fillId="0" borderId="0" xfId="0" applyFont="1" applyAlignment="1">
      <alignment horizontal="center"/>
    </xf>
    <xf numFmtId="164" fontId="1" fillId="0" borderId="0" xfId="0" applyNumberFormat="1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17" xfId="0" applyFont="1" applyBorder="1" applyAlignment="1">
      <alignment horizontal="center" vertical="center" textRotation="90"/>
    </xf>
    <xf numFmtId="0" fontId="6" fillId="0" borderId="1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3" fontId="6" fillId="0" borderId="59" xfId="0" applyNumberFormat="1" applyFont="1" applyBorder="1" applyAlignment="1">
      <alignment horizontal="center" vertical="center"/>
    </xf>
    <xf numFmtId="0" fontId="13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3" fontId="9" fillId="0" borderId="0" xfId="0" applyNumberFormat="1" applyFont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/>
    <xf numFmtId="164" fontId="9" fillId="0" borderId="18" xfId="0" applyNumberFormat="1" applyFont="1" applyBorder="1" applyAlignment="1">
      <alignment horizontal="center"/>
    </xf>
    <xf numFmtId="164" fontId="9" fillId="0" borderId="19" xfId="0" applyNumberFormat="1" applyFont="1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22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center" vertical="center" textRotation="90"/>
      <protection locked="0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10" fillId="0" borderId="1" xfId="0" applyFont="1" applyBorder="1" applyAlignment="1">
      <alignment horizontal="center" vertical="center"/>
    </xf>
    <xf numFmtId="164" fontId="10" fillId="0" borderId="65" xfId="0" applyNumberFormat="1" applyFont="1" applyBorder="1" applyAlignment="1">
      <alignment horizontal="center" vertical="center"/>
    </xf>
    <xf numFmtId="164" fontId="10" fillId="0" borderId="66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164" fontId="10" fillId="0" borderId="15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4" fontId="6" fillId="0" borderId="62" xfId="0" applyNumberFormat="1" applyFont="1" applyBorder="1" applyAlignment="1">
      <alignment horizontal="center" vertical="center"/>
    </xf>
    <xf numFmtId="0" fontId="6" fillId="0" borderId="17" xfId="0" applyFont="1" applyBorder="1" applyAlignment="1" applyProtection="1">
      <alignment horizontal="center" vertical="center" textRotation="90"/>
      <protection locked="0"/>
    </xf>
    <xf numFmtId="0" fontId="6" fillId="0" borderId="12" xfId="0" applyFont="1" applyBorder="1" applyAlignment="1">
      <alignment horizontal="center" vertical="center" wrapText="1"/>
    </xf>
    <xf numFmtId="3" fontId="6" fillId="0" borderId="25" xfId="0" applyNumberFormat="1" applyFont="1" applyBorder="1" applyAlignment="1">
      <alignment horizontal="center" vertical="center" wrapText="1"/>
    </xf>
    <xf numFmtId="3" fontId="6" fillId="0" borderId="24" xfId="0" applyNumberFormat="1" applyFont="1" applyBorder="1" applyAlignment="1">
      <alignment horizontal="center" vertical="center"/>
    </xf>
    <xf numFmtId="3" fontId="6" fillId="0" borderId="33" xfId="0" applyNumberFormat="1" applyFont="1" applyBorder="1" applyAlignment="1">
      <alignment horizontal="center" vertical="center"/>
    </xf>
    <xf numFmtId="3" fontId="6" fillId="0" borderId="34" xfId="0" applyNumberFormat="1" applyFont="1" applyBorder="1" applyAlignment="1">
      <alignment horizontal="center" vertical="center" wrapText="1"/>
    </xf>
    <xf numFmtId="164" fontId="6" fillId="3" borderId="18" xfId="0" applyNumberFormat="1" applyFont="1" applyFill="1" applyBorder="1" applyAlignment="1">
      <alignment horizontal="center" vertical="center"/>
    </xf>
    <xf numFmtId="164" fontId="6" fillId="3" borderId="19" xfId="0" applyNumberFormat="1" applyFont="1" applyFill="1" applyBorder="1" applyAlignment="1">
      <alignment horizontal="center" vertical="center"/>
    </xf>
    <xf numFmtId="164" fontId="6" fillId="3" borderId="20" xfId="0" applyNumberFormat="1" applyFont="1" applyFill="1" applyBorder="1" applyAlignment="1">
      <alignment horizontal="center" vertical="center"/>
    </xf>
    <xf numFmtId="164" fontId="6" fillId="3" borderId="21" xfId="0" applyNumberFormat="1" applyFont="1" applyFill="1" applyBorder="1" applyAlignment="1">
      <alignment horizontal="center" vertical="center"/>
    </xf>
    <xf numFmtId="164" fontId="6" fillId="3" borderId="10" xfId="0" applyNumberFormat="1" applyFont="1" applyFill="1" applyBorder="1" applyAlignment="1">
      <alignment horizontal="center" vertical="center"/>
    </xf>
    <xf numFmtId="164" fontId="6" fillId="3" borderId="14" xfId="0" applyNumberFormat="1" applyFont="1" applyFill="1" applyBorder="1" applyAlignment="1">
      <alignment horizontal="center" vertical="center"/>
    </xf>
    <xf numFmtId="164" fontId="6" fillId="3" borderId="11" xfId="0" applyNumberFormat="1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/>
    </xf>
    <xf numFmtId="164" fontId="5" fillId="3" borderId="23" xfId="0" applyNumberFormat="1" applyFont="1" applyFill="1" applyBorder="1" applyAlignment="1">
      <alignment horizontal="center"/>
    </xf>
    <xf numFmtId="164" fontId="5" fillId="3" borderId="8" xfId="0" applyNumberFormat="1" applyFont="1" applyFill="1" applyBorder="1" applyAlignment="1">
      <alignment horizontal="center"/>
    </xf>
    <xf numFmtId="164" fontId="9" fillId="3" borderId="20" xfId="0" applyNumberFormat="1" applyFont="1" applyFill="1" applyBorder="1" applyAlignment="1">
      <alignment horizontal="center"/>
    </xf>
    <xf numFmtId="164" fontId="9" fillId="3" borderId="21" xfId="0" applyNumberFormat="1" applyFont="1" applyFill="1" applyBorder="1" applyAlignment="1">
      <alignment horizontal="center"/>
    </xf>
    <xf numFmtId="164" fontId="9" fillId="3" borderId="30" xfId="0" applyNumberFormat="1" applyFont="1" applyFill="1" applyBorder="1" applyAlignment="1">
      <alignment horizontal="center" vertical="center"/>
    </xf>
    <xf numFmtId="166" fontId="9" fillId="3" borderId="32" xfId="0" applyNumberFormat="1" applyFont="1" applyFill="1" applyBorder="1" applyAlignment="1">
      <alignment horizontal="center"/>
    </xf>
    <xf numFmtId="49" fontId="10" fillId="0" borderId="3" xfId="0" applyNumberFormat="1" applyFont="1" applyBorder="1" applyAlignment="1">
      <alignment horizontal="center" vertical="center"/>
    </xf>
    <xf numFmtId="167" fontId="9" fillId="3" borderId="3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164" fontId="10" fillId="0" borderId="67" xfId="0" applyNumberFormat="1" applyFont="1" applyBorder="1" applyAlignment="1">
      <alignment horizontal="center" vertical="center"/>
    </xf>
    <xf numFmtId="164" fontId="10" fillId="0" borderId="68" xfId="0" applyNumberFormat="1" applyFont="1" applyBorder="1" applyAlignment="1">
      <alignment horizontal="center" vertical="center"/>
    </xf>
    <xf numFmtId="164" fontId="10" fillId="0" borderId="63" xfId="0" applyNumberFormat="1" applyFont="1" applyBorder="1" applyAlignment="1">
      <alignment horizontal="center" vertical="center"/>
    </xf>
    <xf numFmtId="0" fontId="5" fillId="0" borderId="39" xfId="0" applyFont="1" applyBorder="1" applyAlignment="1"/>
    <xf numFmtId="0" fontId="5" fillId="0" borderId="46" xfId="0" applyFont="1" applyBorder="1" applyAlignment="1"/>
    <xf numFmtId="0" fontId="5" fillId="0" borderId="40" xfId="0" applyFont="1" applyBorder="1" applyAlignment="1"/>
    <xf numFmtId="0" fontId="5" fillId="0" borderId="37" xfId="0" applyFont="1" applyBorder="1" applyAlignment="1"/>
    <xf numFmtId="0" fontId="5" fillId="0" borderId="35" xfId="0" applyFont="1" applyBorder="1" applyAlignment="1"/>
    <xf numFmtId="0" fontId="5" fillId="0" borderId="36" xfId="0" applyFont="1" applyBorder="1" applyAlignment="1"/>
    <xf numFmtId="0" fontId="5" fillId="0" borderId="69" xfId="0" applyFont="1" applyBorder="1" applyAlignment="1"/>
    <xf numFmtId="0" fontId="5" fillId="0" borderId="70" xfId="0" applyFont="1" applyBorder="1" applyAlignment="1"/>
    <xf numFmtId="0" fontId="5" fillId="0" borderId="72" xfId="0" applyFont="1" applyBorder="1" applyAlignment="1"/>
    <xf numFmtId="0" fontId="6" fillId="0" borderId="71" xfId="0" applyFont="1" applyBorder="1" applyAlignment="1">
      <alignment horizontal="center" vertical="center" wrapText="1"/>
    </xf>
    <xf numFmtId="167" fontId="9" fillId="3" borderId="73" xfId="0" applyNumberFormat="1" applyFont="1" applyFill="1" applyBorder="1" applyAlignment="1">
      <alignment horizontal="center"/>
    </xf>
    <xf numFmtId="166" fontId="9" fillId="3" borderId="74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 vertical="center"/>
    </xf>
    <xf numFmtId="3" fontId="2" fillId="0" borderId="0" xfId="0" applyNumberFormat="1" applyFont="1" applyAlignment="1" applyProtection="1">
      <alignment horizontal="center" vertical="center"/>
    </xf>
    <xf numFmtId="0" fontId="1" fillId="2" borderId="0" xfId="0" applyFont="1" applyFill="1" applyProtection="1"/>
    <xf numFmtId="1" fontId="10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60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/>
    </xf>
    <xf numFmtId="0" fontId="9" fillId="0" borderId="0" xfId="0" applyFont="1" applyAlignment="1">
      <alignment horizontal="right"/>
    </xf>
    <xf numFmtId="165" fontId="5" fillId="0" borderId="43" xfId="0" applyNumberFormat="1" applyFont="1" applyBorder="1" applyAlignment="1">
      <alignment horizontal="center" vertical="center"/>
    </xf>
    <xf numFmtId="165" fontId="5" fillId="0" borderId="44" xfId="0" applyNumberFormat="1" applyFont="1" applyBorder="1" applyAlignment="1">
      <alignment horizontal="center" vertical="center"/>
    </xf>
    <xf numFmtId="165" fontId="5" fillId="0" borderId="45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right" wrapText="1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3" fontId="10" fillId="0" borderId="35" xfId="0" applyNumberFormat="1" applyFont="1" applyBorder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3" fontId="10" fillId="0" borderId="39" xfId="0" applyNumberFormat="1" applyFont="1" applyBorder="1" applyAlignment="1">
      <alignment horizontal="center" vertical="center"/>
    </xf>
    <xf numFmtId="3" fontId="10" fillId="0" borderId="47" xfId="0" applyNumberFormat="1" applyFont="1" applyBorder="1" applyAlignment="1">
      <alignment horizontal="center" vertical="center"/>
    </xf>
    <xf numFmtId="17" fontId="3" fillId="0" borderId="43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3" fontId="6" fillId="0" borderId="49" xfId="0" applyNumberFormat="1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52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11" fillId="0" borderId="26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3" fontId="10" fillId="0" borderId="40" xfId="0" applyNumberFormat="1" applyFont="1" applyBorder="1" applyAlignment="1">
      <alignment horizontal="center" vertical="center"/>
    </xf>
    <xf numFmtId="3" fontId="10" fillId="0" borderId="56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3" fontId="9" fillId="0" borderId="57" xfId="0" applyNumberFormat="1" applyFont="1" applyBorder="1" applyAlignment="1">
      <alignment horizontal="center" vertical="center"/>
    </xf>
    <xf numFmtId="3" fontId="9" fillId="0" borderId="58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60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55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61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5" xfId="0" applyFont="1" applyBorder="1" applyAlignment="1">
      <alignment horizontal="left" vertical="center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3" fontId="9" fillId="0" borderId="43" xfId="0" applyNumberFormat="1" applyFont="1" applyBorder="1" applyAlignment="1">
      <alignment horizontal="center" vertical="center"/>
    </xf>
    <xf numFmtId="3" fontId="9" fillId="0" borderId="44" xfId="0" applyNumberFormat="1" applyFont="1" applyBorder="1" applyAlignment="1">
      <alignment horizontal="center" vertical="center"/>
    </xf>
    <xf numFmtId="3" fontId="9" fillId="0" borderId="4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/>
    </xf>
    <xf numFmtId="3" fontId="10" fillId="3" borderId="43" xfId="0" applyNumberFormat="1" applyFont="1" applyFill="1" applyBorder="1" applyAlignment="1">
      <alignment horizontal="center" vertical="center"/>
    </xf>
    <xf numFmtId="3" fontId="10" fillId="3" borderId="44" xfId="0" applyNumberFormat="1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9" fillId="0" borderId="22" xfId="0" applyFont="1" applyBorder="1" applyAlignment="1">
      <alignment horizontal="left" vertical="center"/>
    </xf>
    <xf numFmtId="4" fontId="5" fillId="0" borderId="22" xfId="0" applyNumberFormat="1" applyFont="1" applyBorder="1" applyAlignment="1">
      <alignment horizontal="center" vertical="center"/>
    </xf>
    <xf numFmtId="0" fontId="9" fillId="0" borderId="17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4" fillId="0" borderId="28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6" fillId="0" borderId="64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0</xdr:rowOff>
    </xdr:from>
    <xdr:to>
      <xdr:col>2</xdr:col>
      <xdr:colOff>3517900</xdr:colOff>
      <xdr:row>10</xdr:row>
      <xdr:rowOff>34231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FD2B3D3-D6CC-4F4E-B21A-4CB136AAF1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7" t="36401" r="34418" b="35232"/>
        <a:stretch/>
      </xdr:blipFill>
      <xdr:spPr>
        <a:xfrm>
          <a:off x="713921" y="0"/>
          <a:ext cx="3851729" cy="2217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80"/>
  <sheetViews>
    <sheetView showGridLines="0" tabSelected="1" topLeftCell="A7" zoomScale="70" zoomScaleNormal="70" workbookViewId="0">
      <selection activeCell="O16" sqref="O16"/>
    </sheetView>
  </sheetViews>
  <sheetFormatPr defaultColWidth="9.28515625" defaultRowHeight="12.75" x14ac:dyDescent="0.2"/>
  <cols>
    <col min="1" max="1" width="9.28515625" style="2"/>
    <col min="2" max="2" width="6.42578125" style="2" customWidth="1"/>
    <col min="3" max="3" width="59.7109375" style="3" customWidth="1"/>
    <col min="4" max="5" width="8.5703125" style="3" customWidth="1"/>
    <col min="6" max="15" width="15.28515625" style="3" customWidth="1"/>
    <col min="16" max="17" width="16.7109375" style="3" customWidth="1"/>
    <col min="18" max="18" width="17.7109375" style="4" customWidth="1"/>
    <col min="19" max="19" width="17.7109375" style="4" hidden="1" customWidth="1"/>
    <col min="20" max="16384" width="9.28515625" style="2"/>
  </cols>
  <sheetData>
    <row r="1" spans="2:19" x14ac:dyDescent="0.2">
      <c r="S1" s="116" t="s">
        <v>45</v>
      </c>
    </row>
    <row r="2" spans="2:19" s="1" customFormat="1" ht="13.5" customHeight="1" x14ac:dyDescent="0.25">
      <c r="B2" s="166"/>
      <c r="C2" s="166"/>
      <c r="D2" s="166"/>
      <c r="E2" s="167"/>
      <c r="F2" s="155" t="s">
        <v>41</v>
      </c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7"/>
      <c r="S2" s="117"/>
    </row>
    <row r="3" spans="2:19" s="1" customFormat="1" ht="13.5" customHeight="1" x14ac:dyDescent="0.25">
      <c r="B3" s="166"/>
      <c r="C3" s="166"/>
      <c r="D3" s="166"/>
      <c r="E3" s="167"/>
      <c r="F3" s="158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60"/>
    </row>
    <row r="4" spans="2:19" s="1" customFormat="1" ht="13.5" customHeight="1" x14ac:dyDescent="0.25">
      <c r="B4" s="166"/>
      <c r="C4" s="166"/>
      <c r="D4" s="166"/>
      <c r="E4" s="167"/>
      <c r="F4" s="158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60"/>
    </row>
    <row r="5" spans="2:19" s="1" customFormat="1" ht="13.5" customHeight="1" x14ac:dyDescent="0.25">
      <c r="B5" s="166"/>
      <c r="C5" s="166"/>
      <c r="D5" s="166"/>
      <c r="E5" s="167"/>
      <c r="F5" s="161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3"/>
    </row>
    <row r="6" spans="2:19" s="1" customFormat="1" ht="13.5" customHeight="1" x14ac:dyDescent="0.25">
      <c r="B6" s="93"/>
      <c r="C6" s="93"/>
      <c r="D6" s="93"/>
      <c r="E6" s="94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</row>
    <row r="7" spans="2:19" s="1" customFormat="1" ht="30.75" customHeight="1" x14ac:dyDescent="0.25">
      <c r="B7" s="93"/>
      <c r="C7" s="93"/>
      <c r="D7" s="202" t="s">
        <v>39</v>
      </c>
      <c r="E7" s="202"/>
      <c r="F7" s="96"/>
      <c r="G7" s="97"/>
      <c r="H7" s="97"/>
      <c r="I7" s="98"/>
      <c r="J7" s="203" t="s">
        <v>40</v>
      </c>
      <c r="K7" s="204"/>
      <c r="L7" s="204"/>
      <c r="M7" s="204"/>
      <c r="N7" s="204"/>
      <c r="O7" s="204"/>
      <c r="P7" s="204"/>
      <c r="Q7" s="204"/>
    </row>
    <row r="8" spans="2:19" s="1" customFormat="1" ht="13.5" customHeight="1" x14ac:dyDescent="0.25">
      <c r="B8" s="93"/>
      <c r="C8" s="93"/>
      <c r="D8" s="93"/>
      <c r="E8" s="94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</row>
    <row r="9" spans="2:19" ht="20.25" customHeight="1" x14ac:dyDescent="0.2">
      <c r="D9" s="152" t="s">
        <v>9</v>
      </c>
      <c r="E9" s="152"/>
    </row>
    <row r="10" spans="2:19" ht="26.25" x14ac:dyDescent="0.4">
      <c r="D10" s="152"/>
      <c r="E10" s="152"/>
      <c r="F10" s="134" t="s">
        <v>51</v>
      </c>
      <c r="G10" s="135"/>
      <c r="H10" s="135"/>
      <c r="I10" s="136"/>
      <c r="J10" s="5"/>
      <c r="K10" s="6" t="s">
        <v>31</v>
      </c>
      <c r="L10" s="145">
        <v>44378</v>
      </c>
      <c r="M10" s="146"/>
      <c r="N10" s="146"/>
      <c r="O10" s="147"/>
      <c r="P10" s="7"/>
      <c r="Q10" s="6"/>
      <c r="R10" s="133"/>
      <c r="S10" s="133"/>
    </row>
    <row r="11" spans="2:19" ht="20.25" customHeight="1" thickBot="1" x14ac:dyDescent="0.25">
      <c r="D11" s="152"/>
      <c r="E11" s="152"/>
    </row>
    <row r="12" spans="2:19" s="8" customFormat="1" ht="49.5" customHeight="1" thickBot="1" x14ac:dyDescent="0.25">
      <c r="B12" s="153"/>
      <c r="C12" s="153"/>
      <c r="D12" s="153"/>
      <c r="E12" s="154"/>
      <c r="F12" s="137" t="s">
        <v>32</v>
      </c>
      <c r="G12" s="138"/>
      <c r="H12" s="168" t="s">
        <v>0</v>
      </c>
      <c r="I12" s="169"/>
      <c r="J12" s="168" t="s">
        <v>1</v>
      </c>
      <c r="K12" s="169"/>
      <c r="L12" s="137" t="s">
        <v>38</v>
      </c>
      <c r="M12" s="138"/>
      <c r="N12" s="205" t="s">
        <v>42</v>
      </c>
      <c r="O12" s="150" t="s">
        <v>37</v>
      </c>
      <c r="P12" s="148" t="s">
        <v>2</v>
      </c>
      <c r="Q12" s="149"/>
    </row>
    <row r="13" spans="2:19" s="8" customFormat="1" ht="79.5" customHeight="1" thickBot="1" x14ac:dyDescent="0.25">
      <c r="B13" s="23" t="s">
        <v>3</v>
      </c>
      <c r="C13" s="24" t="s">
        <v>34</v>
      </c>
      <c r="D13" s="141" t="s">
        <v>33</v>
      </c>
      <c r="E13" s="142"/>
      <c r="F13" s="25" t="s">
        <v>4</v>
      </c>
      <c r="G13" s="26" t="s">
        <v>35</v>
      </c>
      <c r="H13" s="27" t="s">
        <v>4</v>
      </c>
      <c r="I13" s="26" t="s">
        <v>35</v>
      </c>
      <c r="J13" s="27" t="s">
        <v>4</v>
      </c>
      <c r="K13" s="26" t="s">
        <v>35</v>
      </c>
      <c r="L13" s="27" t="s">
        <v>4</v>
      </c>
      <c r="M13" s="26" t="s">
        <v>35</v>
      </c>
      <c r="N13" s="206"/>
      <c r="O13" s="151"/>
      <c r="P13" s="28" t="s">
        <v>4</v>
      </c>
      <c r="Q13" s="72" t="s">
        <v>35</v>
      </c>
    </row>
    <row r="14" spans="2:19" s="10" customFormat="1" ht="31.5" customHeight="1" x14ac:dyDescent="0.2">
      <c r="B14" s="9">
        <v>1</v>
      </c>
      <c r="C14" s="55" t="s">
        <v>47</v>
      </c>
      <c r="D14" s="143"/>
      <c r="E14" s="144"/>
      <c r="F14" s="60">
        <v>15.9</v>
      </c>
      <c r="G14" s="56"/>
      <c r="H14" s="57"/>
      <c r="I14" s="58"/>
      <c r="J14" s="59"/>
      <c r="K14" s="58"/>
      <c r="L14" s="59"/>
      <c r="M14" s="58"/>
      <c r="N14" s="100"/>
      <c r="O14" s="91" t="s">
        <v>53</v>
      </c>
      <c r="P14" s="77">
        <f>F14++H14+J14+L14</f>
        <v>15.9</v>
      </c>
      <c r="Q14" s="78">
        <f>G14++I14+K14+M14</f>
        <v>0</v>
      </c>
    </row>
    <row r="15" spans="2:19" s="10" customFormat="1" ht="31.5" customHeight="1" x14ac:dyDescent="0.2">
      <c r="B15" s="9">
        <v>2</v>
      </c>
      <c r="C15" s="55" t="s">
        <v>50</v>
      </c>
      <c r="D15" s="139">
        <v>330</v>
      </c>
      <c r="E15" s="140"/>
      <c r="F15" s="60"/>
      <c r="G15" s="61"/>
      <c r="H15" s="62"/>
      <c r="I15" s="58"/>
      <c r="J15" s="59"/>
      <c r="K15" s="58"/>
      <c r="L15" s="59"/>
      <c r="M15" s="58"/>
      <c r="N15" s="101"/>
      <c r="O15" s="91" t="s">
        <v>53</v>
      </c>
      <c r="P15" s="77">
        <f>F15++H15+J15+L15</f>
        <v>0</v>
      </c>
      <c r="Q15" s="78">
        <f t="shared" ref="Q15:Q44" si="0">G15++I15+K15+M15</f>
        <v>0</v>
      </c>
    </row>
    <row r="16" spans="2:19" s="10" customFormat="1" ht="31.5" customHeight="1" x14ac:dyDescent="0.2">
      <c r="B16" s="9">
        <v>3</v>
      </c>
      <c r="C16" s="55"/>
      <c r="D16" s="139"/>
      <c r="E16" s="140"/>
      <c r="F16" s="60"/>
      <c r="G16" s="61"/>
      <c r="H16" s="62"/>
      <c r="I16" s="58"/>
      <c r="J16" s="59"/>
      <c r="K16" s="58"/>
      <c r="L16" s="59"/>
      <c r="M16" s="58"/>
      <c r="N16" s="101"/>
      <c r="O16" s="91"/>
      <c r="P16" s="77">
        <f>F16++H16+J16+L16</f>
        <v>0</v>
      </c>
      <c r="Q16" s="78">
        <f t="shared" si="0"/>
        <v>0</v>
      </c>
    </row>
    <row r="17" spans="2:17" s="10" customFormat="1" ht="31.5" customHeight="1" x14ac:dyDescent="0.2">
      <c r="B17" s="9">
        <v>4</v>
      </c>
      <c r="C17" s="55"/>
      <c r="D17" s="139"/>
      <c r="E17" s="140"/>
      <c r="F17" s="60"/>
      <c r="G17" s="61"/>
      <c r="H17" s="62"/>
      <c r="I17" s="58"/>
      <c r="J17" s="59"/>
      <c r="K17" s="58"/>
      <c r="L17" s="59"/>
      <c r="M17" s="58"/>
      <c r="N17" s="101"/>
      <c r="O17" s="91"/>
      <c r="P17" s="77">
        <f>F17++H17+J17+L17</f>
        <v>0</v>
      </c>
      <c r="Q17" s="78">
        <f t="shared" si="0"/>
        <v>0</v>
      </c>
    </row>
    <row r="18" spans="2:17" s="10" customFormat="1" ht="31.5" customHeight="1" x14ac:dyDescent="0.2">
      <c r="B18" s="9">
        <v>5</v>
      </c>
      <c r="C18" s="55"/>
      <c r="D18" s="139"/>
      <c r="E18" s="140"/>
      <c r="F18" s="60"/>
      <c r="G18" s="61"/>
      <c r="H18" s="62"/>
      <c r="I18" s="58"/>
      <c r="J18" s="59"/>
      <c r="K18" s="58"/>
      <c r="L18" s="59"/>
      <c r="M18" s="58"/>
      <c r="N18" s="101"/>
      <c r="O18" s="91"/>
      <c r="P18" s="77">
        <f>F18++H18+J18+L18</f>
        <v>0</v>
      </c>
      <c r="Q18" s="78">
        <f t="shared" si="0"/>
        <v>0</v>
      </c>
    </row>
    <row r="19" spans="2:17" s="10" customFormat="1" ht="31.5" customHeight="1" x14ac:dyDescent="0.2">
      <c r="B19" s="9">
        <v>6</v>
      </c>
      <c r="C19" s="55"/>
      <c r="D19" s="139"/>
      <c r="E19" s="140"/>
      <c r="F19" s="60"/>
      <c r="G19" s="61"/>
      <c r="H19" s="62"/>
      <c r="I19" s="58"/>
      <c r="J19" s="59"/>
      <c r="K19" s="58"/>
      <c r="L19" s="59"/>
      <c r="M19" s="58"/>
      <c r="N19" s="101"/>
      <c r="O19" s="59"/>
      <c r="P19" s="77">
        <f>F19++H19+J19+L19</f>
        <v>0</v>
      </c>
      <c r="Q19" s="78">
        <f t="shared" si="0"/>
        <v>0</v>
      </c>
    </row>
    <row r="20" spans="2:17" s="10" customFormat="1" ht="31.5" customHeight="1" x14ac:dyDescent="0.2">
      <c r="B20" s="9">
        <v>7</v>
      </c>
      <c r="C20" s="55"/>
      <c r="D20" s="139"/>
      <c r="E20" s="140"/>
      <c r="F20" s="60"/>
      <c r="G20" s="61"/>
      <c r="H20" s="62"/>
      <c r="I20" s="58"/>
      <c r="J20" s="59"/>
      <c r="K20" s="58"/>
      <c r="L20" s="59"/>
      <c r="M20" s="58"/>
      <c r="N20" s="101"/>
      <c r="O20" s="59"/>
      <c r="P20" s="77">
        <f t="shared" ref="P20:P44" si="1">F20++H20+J20+L20</f>
        <v>0</v>
      </c>
      <c r="Q20" s="78">
        <f t="shared" si="0"/>
        <v>0</v>
      </c>
    </row>
    <row r="21" spans="2:17" s="10" customFormat="1" ht="31.5" customHeight="1" x14ac:dyDescent="0.2">
      <c r="B21" s="9">
        <v>8</v>
      </c>
      <c r="C21" s="55"/>
      <c r="D21" s="139"/>
      <c r="E21" s="140"/>
      <c r="F21" s="60"/>
      <c r="G21" s="61"/>
      <c r="H21" s="62"/>
      <c r="I21" s="58"/>
      <c r="J21" s="59"/>
      <c r="K21" s="58"/>
      <c r="L21" s="59"/>
      <c r="M21" s="58"/>
      <c r="N21" s="101"/>
      <c r="O21" s="59"/>
      <c r="P21" s="77">
        <f t="shared" si="1"/>
        <v>0</v>
      </c>
      <c r="Q21" s="78">
        <f t="shared" si="0"/>
        <v>0</v>
      </c>
    </row>
    <row r="22" spans="2:17" s="10" customFormat="1" ht="31.5" customHeight="1" x14ac:dyDescent="0.2">
      <c r="B22" s="9">
        <v>9</v>
      </c>
      <c r="C22" s="55"/>
      <c r="D22" s="139"/>
      <c r="E22" s="140"/>
      <c r="F22" s="60"/>
      <c r="G22" s="61"/>
      <c r="H22" s="62"/>
      <c r="I22" s="58"/>
      <c r="J22" s="59"/>
      <c r="K22" s="58"/>
      <c r="L22" s="59"/>
      <c r="M22" s="58"/>
      <c r="N22" s="101"/>
      <c r="O22" s="59"/>
      <c r="P22" s="77">
        <f t="shared" si="1"/>
        <v>0</v>
      </c>
      <c r="Q22" s="78">
        <f t="shared" si="0"/>
        <v>0</v>
      </c>
    </row>
    <row r="23" spans="2:17" s="10" customFormat="1" ht="31.5" customHeight="1" x14ac:dyDescent="0.2">
      <c r="B23" s="9">
        <v>10</v>
      </c>
      <c r="C23" s="55"/>
      <c r="D23" s="139"/>
      <c r="E23" s="140"/>
      <c r="F23" s="60"/>
      <c r="G23" s="61"/>
      <c r="H23" s="62"/>
      <c r="I23" s="58"/>
      <c r="J23" s="59"/>
      <c r="K23" s="58"/>
      <c r="L23" s="59"/>
      <c r="M23" s="58"/>
      <c r="N23" s="101"/>
      <c r="O23" s="59"/>
      <c r="P23" s="77">
        <f t="shared" si="1"/>
        <v>0</v>
      </c>
      <c r="Q23" s="78">
        <f t="shared" si="0"/>
        <v>0</v>
      </c>
    </row>
    <row r="24" spans="2:17" s="10" customFormat="1" ht="31.5" customHeight="1" x14ac:dyDescent="0.2">
      <c r="B24" s="9">
        <v>11</v>
      </c>
      <c r="C24" s="55"/>
      <c r="D24" s="139"/>
      <c r="E24" s="140"/>
      <c r="F24" s="60"/>
      <c r="G24" s="61"/>
      <c r="H24" s="62"/>
      <c r="I24" s="58"/>
      <c r="J24" s="59"/>
      <c r="K24" s="58"/>
      <c r="L24" s="59"/>
      <c r="M24" s="58"/>
      <c r="N24" s="101"/>
      <c r="O24" s="59"/>
      <c r="P24" s="77">
        <f t="shared" si="1"/>
        <v>0</v>
      </c>
      <c r="Q24" s="78">
        <f t="shared" si="0"/>
        <v>0</v>
      </c>
    </row>
    <row r="25" spans="2:17" s="10" customFormat="1" ht="31.5" customHeight="1" x14ac:dyDescent="0.2">
      <c r="B25" s="9">
        <v>12</v>
      </c>
      <c r="C25" s="55"/>
      <c r="D25" s="139"/>
      <c r="E25" s="140"/>
      <c r="F25" s="60"/>
      <c r="G25" s="61"/>
      <c r="H25" s="62"/>
      <c r="I25" s="58"/>
      <c r="J25" s="59"/>
      <c r="K25" s="58"/>
      <c r="L25" s="59"/>
      <c r="M25" s="58"/>
      <c r="N25" s="101"/>
      <c r="O25" s="59"/>
      <c r="P25" s="77">
        <f t="shared" si="1"/>
        <v>0</v>
      </c>
      <c r="Q25" s="78">
        <f t="shared" si="0"/>
        <v>0</v>
      </c>
    </row>
    <row r="26" spans="2:17" s="10" customFormat="1" ht="31.5" customHeight="1" x14ac:dyDescent="0.2">
      <c r="B26" s="9">
        <v>13</v>
      </c>
      <c r="C26" s="55"/>
      <c r="D26" s="139"/>
      <c r="E26" s="140"/>
      <c r="F26" s="60"/>
      <c r="G26" s="61"/>
      <c r="H26" s="62"/>
      <c r="I26" s="58"/>
      <c r="J26" s="59"/>
      <c r="K26" s="58"/>
      <c r="L26" s="59"/>
      <c r="M26" s="58"/>
      <c r="N26" s="101"/>
      <c r="O26" s="59"/>
      <c r="P26" s="77">
        <f t="shared" si="1"/>
        <v>0</v>
      </c>
      <c r="Q26" s="78">
        <f t="shared" si="0"/>
        <v>0</v>
      </c>
    </row>
    <row r="27" spans="2:17" s="10" customFormat="1" ht="31.5" customHeight="1" x14ac:dyDescent="0.2">
      <c r="B27" s="9">
        <v>14</v>
      </c>
      <c r="C27" s="63"/>
      <c r="D27" s="139"/>
      <c r="E27" s="140"/>
      <c r="F27" s="60"/>
      <c r="G27" s="61"/>
      <c r="H27" s="62"/>
      <c r="I27" s="58"/>
      <c r="J27" s="59"/>
      <c r="K27" s="58"/>
      <c r="L27" s="59"/>
      <c r="M27" s="58"/>
      <c r="N27" s="101"/>
      <c r="O27" s="118"/>
      <c r="P27" s="77">
        <f t="shared" si="1"/>
        <v>0</v>
      </c>
      <c r="Q27" s="78">
        <f t="shared" si="0"/>
        <v>0</v>
      </c>
    </row>
    <row r="28" spans="2:17" s="10" customFormat="1" ht="31.5" customHeight="1" x14ac:dyDescent="0.2">
      <c r="B28" s="9">
        <v>15</v>
      </c>
      <c r="C28" s="63"/>
      <c r="D28" s="139"/>
      <c r="E28" s="140"/>
      <c r="F28" s="60"/>
      <c r="G28" s="61"/>
      <c r="H28" s="62"/>
      <c r="I28" s="58"/>
      <c r="J28" s="59"/>
      <c r="K28" s="58"/>
      <c r="L28" s="59"/>
      <c r="M28" s="58"/>
      <c r="N28" s="101"/>
      <c r="O28" s="59"/>
      <c r="P28" s="77">
        <f t="shared" si="1"/>
        <v>0</v>
      </c>
      <c r="Q28" s="78">
        <f t="shared" si="0"/>
        <v>0</v>
      </c>
    </row>
    <row r="29" spans="2:17" s="10" customFormat="1" ht="31.5" customHeight="1" x14ac:dyDescent="0.2">
      <c r="B29" s="9">
        <v>16</v>
      </c>
      <c r="C29" s="63"/>
      <c r="D29" s="139"/>
      <c r="E29" s="140"/>
      <c r="F29" s="60"/>
      <c r="G29" s="61"/>
      <c r="H29" s="62"/>
      <c r="I29" s="58"/>
      <c r="J29" s="59"/>
      <c r="K29" s="58"/>
      <c r="L29" s="59"/>
      <c r="M29" s="58"/>
      <c r="N29" s="101"/>
      <c r="O29" s="59"/>
      <c r="P29" s="77">
        <f t="shared" si="1"/>
        <v>0</v>
      </c>
      <c r="Q29" s="78">
        <f t="shared" si="0"/>
        <v>0</v>
      </c>
    </row>
    <row r="30" spans="2:17" s="10" customFormat="1" ht="31.5" customHeight="1" x14ac:dyDescent="0.2">
      <c r="B30" s="9">
        <v>17</v>
      </c>
      <c r="C30" s="55"/>
      <c r="D30" s="139"/>
      <c r="E30" s="140"/>
      <c r="F30" s="60"/>
      <c r="G30" s="61"/>
      <c r="H30" s="62"/>
      <c r="I30" s="58"/>
      <c r="J30" s="59"/>
      <c r="K30" s="58"/>
      <c r="L30" s="59"/>
      <c r="M30" s="58"/>
      <c r="N30" s="101"/>
      <c r="O30" s="59"/>
      <c r="P30" s="77">
        <f t="shared" si="1"/>
        <v>0</v>
      </c>
      <c r="Q30" s="78">
        <f t="shared" si="0"/>
        <v>0</v>
      </c>
    </row>
    <row r="31" spans="2:17" s="10" customFormat="1" ht="31.5" customHeight="1" x14ac:dyDescent="0.2">
      <c r="B31" s="9">
        <v>18</v>
      </c>
      <c r="C31" s="55"/>
      <c r="D31" s="139"/>
      <c r="E31" s="140"/>
      <c r="F31" s="60"/>
      <c r="G31" s="61"/>
      <c r="H31" s="62"/>
      <c r="I31" s="58"/>
      <c r="J31" s="59"/>
      <c r="K31" s="58"/>
      <c r="L31" s="59"/>
      <c r="M31" s="58"/>
      <c r="N31" s="101"/>
      <c r="O31" s="59"/>
      <c r="P31" s="77">
        <f t="shared" si="1"/>
        <v>0</v>
      </c>
      <c r="Q31" s="78">
        <f t="shared" si="0"/>
        <v>0</v>
      </c>
    </row>
    <row r="32" spans="2:17" s="10" customFormat="1" ht="31.5" customHeight="1" x14ac:dyDescent="0.2">
      <c r="B32" s="9">
        <v>19</v>
      </c>
      <c r="C32" s="55"/>
      <c r="D32" s="139"/>
      <c r="E32" s="140"/>
      <c r="F32" s="60"/>
      <c r="G32" s="61"/>
      <c r="H32" s="62"/>
      <c r="I32" s="58"/>
      <c r="J32" s="59"/>
      <c r="K32" s="58"/>
      <c r="L32" s="59"/>
      <c r="M32" s="58"/>
      <c r="N32" s="101"/>
      <c r="O32" s="59"/>
      <c r="P32" s="77">
        <f t="shared" si="1"/>
        <v>0</v>
      </c>
      <c r="Q32" s="78">
        <f t="shared" si="0"/>
        <v>0</v>
      </c>
    </row>
    <row r="33" spans="2:19" s="10" customFormat="1" ht="31.5" customHeight="1" x14ac:dyDescent="0.2">
      <c r="B33" s="9">
        <v>20</v>
      </c>
      <c r="C33" s="55"/>
      <c r="D33" s="139"/>
      <c r="E33" s="140"/>
      <c r="F33" s="60"/>
      <c r="G33" s="61"/>
      <c r="H33" s="62"/>
      <c r="I33" s="58"/>
      <c r="J33" s="59"/>
      <c r="K33" s="58"/>
      <c r="L33" s="59"/>
      <c r="M33" s="58"/>
      <c r="N33" s="101"/>
      <c r="O33" s="59"/>
      <c r="P33" s="77">
        <f t="shared" si="1"/>
        <v>0</v>
      </c>
      <c r="Q33" s="78">
        <f t="shared" si="0"/>
        <v>0</v>
      </c>
    </row>
    <row r="34" spans="2:19" s="10" customFormat="1" ht="31.5" customHeight="1" x14ac:dyDescent="0.2">
      <c r="B34" s="9">
        <v>21</v>
      </c>
      <c r="C34" s="55"/>
      <c r="D34" s="139"/>
      <c r="E34" s="140"/>
      <c r="F34" s="60"/>
      <c r="G34" s="61"/>
      <c r="H34" s="62"/>
      <c r="I34" s="58"/>
      <c r="J34" s="59"/>
      <c r="K34" s="58"/>
      <c r="L34" s="59"/>
      <c r="M34" s="58"/>
      <c r="N34" s="101"/>
      <c r="O34" s="59"/>
      <c r="P34" s="77">
        <f t="shared" si="1"/>
        <v>0</v>
      </c>
      <c r="Q34" s="78">
        <f t="shared" si="0"/>
        <v>0</v>
      </c>
    </row>
    <row r="35" spans="2:19" s="10" customFormat="1" ht="31.5" customHeight="1" x14ac:dyDescent="0.2">
      <c r="B35" s="9">
        <v>22</v>
      </c>
      <c r="C35" s="55"/>
      <c r="D35" s="139"/>
      <c r="E35" s="140"/>
      <c r="F35" s="60"/>
      <c r="G35" s="61"/>
      <c r="H35" s="62"/>
      <c r="I35" s="58"/>
      <c r="J35" s="59"/>
      <c r="K35" s="58"/>
      <c r="L35" s="59"/>
      <c r="M35" s="58"/>
      <c r="N35" s="101"/>
      <c r="O35" s="59"/>
      <c r="P35" s="77">
        <f t="shared" si="1"/>
        <v>0</v>
      </c>
      <c r="Q35" s="78">
        <f t="shared" si="0"/>
        <v>0</v>
      </c>
    </row>
    <row r="36" spans="2:19" s="10" customFormat="1" ht="31.5" customHeight="1" x14ac:dyDescent="0.2">
      <c r="B36" s="9">
        <v>23</v>
      </c>
      <c r="C36" s="55"/>
      <c r="D36" s="139"/>
      <c r="E36" s="140"/>
      <c r="F36" s="60"/>
      <c r="G36" s="61"/>
      <c r="H36" s="62"/>
      <c r="I36" s="58"/>
      <c r="J36" s="59"/>
      <c r="K36" s="58"/>
      <c r="L36" s="59"/>
      <c r="M36" s="58"/>
      <c r="N36" s="101"/>
      <c r="O36" s="59"/>
      <c r="P36" s="77">
        <f t="shared" si="1"/>
        <v>0</v>
      </c>
      <c r="Q36" s="78">
        <f t="shared" si="0"/>
        <v>0</v>
      </c>
    </row>
    <row r="37" spans="2:19" s="10" customFormat="1" ht="31.5" customHeight="1" x14ac:dyDescent="0.2">
      <c r="B37" s="9">
        <v>24</v>
      </c>
      <c r="C37" s="55"/>
      <c r="D37" s="139"/>
      <c r="E37" s="140"/>
      <c r="F37" s="60"/>
      <c r="G37" s="61"/>
      <c r="H37" s="62"/>
      <c r="I37" s="58"/>
      <c r="J37" s="59"/>
      <c r="K37" s="58"/>
      <c r="L37" s="59"/>
      <c r="M37" s="58"/>
      <c r="N37" s="101"/>
      <c r="O37" s="59"/>
      <c r="P37" s="77">
        <f t="shared" si="1"/>
        <v>0</v>
      </c>
      <c r="Q37" s="78">
        <f t="shared" si="0"/>
        <v>0</v>
      </c>
    </row>
    <row r="38" spans="2:19" s="10" customFormat="1" ht="31.5" customHeight="1" x14ac:dyDescent="0.2">
      <c r="B38" s="9">
        <v>25</v>
      </c>
      <c r="C38" s="55"/>
      <c r="D38" s="139"/>
      <c r="E38" s="140"/>
      <c r="F38" s="60"/>
      <c r="G38" s="61"/>
      <c r="H38" s="62"/>
      <c r="I38" s="58"/>
      <c r="J38" s="59"/>
      <c r="K38" s="58"/>
      <c r="L38" s="59"/>
      <c r="M38" s="58"/>
      <c r="N38" s="101"/>
      <c r="O38" s="59"/>
      <c r="P38" s="77">
        <f t="shared" si="1"/>
        <v>0</v>
      </c>
      <c r="Q38" s="78">
        <f t="shared" si="0"/>
        <v>0</v>
      </c>
    </row>
    <row r="39" spans="2:19" s="10" customFormat="1" ht="31.5" customHeight="1" x14ac:dyDescent="0.2">
      <c r="B39" s="9">
        <v>26</v>
      </c>
      <c r="C39" s="55"/>
      <c r="D39" s="139"/>
      <c r="E39" s="140"/>
      <c r="F39" s="60"/>
      <c r="G39" s="61"/>
      <c r="H39" s="62"/>
      <c r="I39" s="58"/>
      <c r="J39" s="59"/>
      <c r="K39" s="58"/>
      <c r="L39" s="59"/>
      <c r="M39" s="58"/>
      <c r="N39" s="101"/>
      <c r="O39" s="59"/>
      <c r="P39" s="77">
        <f t="shared" si="1"/>
        <v>0</v>
      </c>
      <c r="Q39" s="78">
        <f t="shared" si="0"/>
        <v>0</v>
      </c>
    </row>
    <row r="40" spans="2:19" s="10" customFormat="1" ht="31.5" customHeight="1" x14ac:dyDescent="0.2">
      <c r="B40" s="9">
        <v>27</v>
      </c>
      <c r="C40" s="63"/>
      <c r="D40" s="139"/>
      <c r="E40" s="140"/>
      <c r="F40" s="60"/>
      <c r="G40" s="61"/>
      <c r="H40" s="62"/>
      <c r="I40" s="58"/>
      <c r="J40" s="59"/>
      <c r="K40" s="58"/>
      <c r="L40" s="59"/>
      <c r="M40" s="58"/>
      <c r="N40" s="101"/>
      <c r="O40" s="59"/>
      <c r="P40" s="77">
        <f t="shared" si="1"/>
        <v>0</v>
      </c>
      <c r="Q40" s="78">
        <f t="shared" si="0"/>
        <v>0</v>
      </c>
    </row>
    <row r="41" spans="2:19" s="10" customFormat="1" ht="31.5" customHeight="1" x14ac:dyDescent="0.2">
      <c r="B41" s="9">
        <v>28</v>
      </c>
      <c r="C41" s="63"/>
      <c r="D41" s="139"/>
      <c r="E41" s="140"/>
      <c r="F41" s="60"/>
      <c r="G41" s="61"/>
      <c r="H41" s="62"/>
      <c r="I41" s="58"/>
      <c r="J41" s="59"/>
      <c r="K41" s="58"/>
      <c r="L41" s="59"/>
      <c r="M41" s="58"/>
      <c r="N41" s="101"/>
      <c r="O41" s="59"/>
      <c r="P41" s="77">
        <f t="shared" si="1"/>
        <v>0</v>
      </c>
      <c r="Q41" s="78">
        <f t="shared" si="0"/>
        <v>0</v>
      </c>
    </row>
    <row r="42" spans="2:19" s="10" customFormat="1" ht="31.5" customHeight="1" x14ac:dyDescent="0.2">
      <c r="B42" s="9">
        <v>29</v>
      </c>
      <c r="C42" s="63"/>
      <c r="D42" s="139"/>
      <c r="E42" s="140"/>
      <c r="F42" s="60"/>
      <c r="G42" s="61"/>
      <c r="H42" s="62"/>
      <c r="I42" s="58"/>
      <c r="J42" s="59"/>
      <c r="K42" s="58"/>
      <c r="L42" s="59"/>
      <c r="M42" s="58"/>
      <c r="N42" s="101"/>
      <c r="O42" s="59"/>
      <c r="P42" s="77">
        <f t="shared" si="1"/>
        <v>0</v>
      </c>
      <c r="Q42" s="78">
        <f t="shared" si="0"/>
        <v>0</v>
      </c>
    </row>
    <row r="43" spans="2:19" s="10" customFormat="1" ht="31.5" customHeight="1" x14ac:dyDescent="0.2">
      <c r="B43" s="9">
        <v>30</v>
      </c>
      <c r="C43" s="63"/>
      <c r="D43" s="139"/>
      <c r="E43" s="140"/>
      <c r="F43" s="60"/>
      <c r="G43" s="61"/>
      <c r="H43" s="62"/>
      <c r="I43" s="58"/>
      <c r="J43" s="59"/>
      <c r="K43" s="58"/>
      <c r="L43" s="59"/>
      <c r="M43" s="58"/>
      <c r="N43" s="101"/>
      <c r="O43" s="59"/>
      <c r="P43" s="77">
        <f t="shared" si="1"/>
        <v>0</v>
      </c>
      <c r="Q43" s="78">
        <f t="shared" si="0"/>
        <v>0</v>
      </c>
    </row>
    <row r="44" spans="2:19" s="10" customFormat="1" ht="31.5" customHeight="1" thickBot="1" x14ac:dyDescent="0.25">
      <c r="B44" s="11">
        <v>31</v>
      </c>
      <c r="C44" s="64"/>
      <c r="D44" s="164"/>
      <c r="E44" s="165"/>
      <c r="F44" s="60"/>
      <c r="G44" s="61"/>
      <c r="H44" s="65"/>
      <c r="I44" s="66"/>
      <c r="J44" s="67"/>
      <c r="K44" s="68"/>
      <c r="L44" s="67"/>
      <c r="M44" s="68"/>
      <c r="N44" s="102"/>
      <c r="O44" s="67"/>
      <c r="P44" s="77">
        <f t="shared" si="1"/>
        <v>0</v>
      </c>
      <c r="Q44" s="78">
        <f t="shared" si="0"/>
        <v>0</v>
      </c>
    </row>
    <row r="45" spans="2:19" s="13" customFormat="1" ht="25.15" customHeight="1" thickBot="1" x14ac:dyDescent="0.25">
      <c r="B45" s="6"/>
      <c r="C45" s="69" t="s">
        <v>2</v>
      </c>
      <c r="D45" s="193">
        <f>SUM(D14:E44)</f>
        <v>330</v>
      </c>
      <c r="E45" s="194"/>
      <c r="F45" s="81">
        <f>SUM(F14:F44)</f>
        <v>15.9</v>
      </c>
      <c r="G45" s="82">
        <f t="shared" ref="G45:Q45" si="2">SUM(G14:G44)</f>
        <v>0</v>
      </c>
      <c r="H45" s="83">
        <f t="shared" si="2"/>
        <v>0</v>
      </c>
      <c r="I45" s="84">
        <f t="shared" si="2"/>
        <v>0</v>
      </c>
      <c r="J45" s="83">
        <f t="shared" si="2"/>
        <v>0</v>
      </c>
      <c r="K45" s="84">
        <f t="shared" si="2"/>
        <v>0</v>
      </c>
      <c r="L45" s="83">
        <f t="shared" si="2"/>
        <v>0</v>
      </c>
      <c r="M45" s="84">
        <f t="shared" si="2"/>
        <v>0</v>
      </c>
      <c r="N45" s="12"/>
      <c r="O45" s="70"/>
      <c r="P45" s="79">
        <f t="shared" si="2"/>
        <v>15.9</v>
      </c>
      <c r="Q45" s="80">
        <f t="shared" si="2"/>
        <v>0</v>
      </c>
    </row>
    <row r="46" spans="2:19" s="13" customFormat="1" ht="25.5" customHeight="1" x14ac:dyDescent="0.2">
      <c r="B46" s="6"/>
      <c r="C46" s="14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5"/>
      <c r="S46" s="15"/>
    </row>
    <row r="47" spans="2:19" s="18" customFormat="1" ht="25.15" customHeight="1" thickBot="1" x14ac:dyDescent="0.4">
      <c r="B47" s="29" t="s">
        <v>5</v>
      </c>
      <c r="C47" s="30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17"/>
      <c r="S47" s="17"/>
    </row>
    <row r="48" spans="2:19" s="18" customFormat="1" ht="55.9" customHeight="1" thickBot="1" x14ac:dyDescent="0.25">
      <c r="B48" s="71" t="s">
        <v>3</v>
      </c>
      <c r="C48" s="180" t="s">
        <v>10</v>
      </c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2"/>
      <c r="P48" s="32" t="s">
        <v>6</v>
      </c>
      <c r="Q48" s="33" t="s">
        <v>8</v>
      </c>
    </row>
    <row r="49" spans="2:19" s="18" customFormat="1" ht="38.1" customHeight="1" x14ac:dyDescent="0.35">
      <c r="B49" s="34"/>
      <c r="C49" s="184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6"/>
      <c r="P49" s="35"/>
      <c r="Q49" s="36"/>
    </row>
    <row r="50" spans="2:19" s="18" customFormat="1" ht="38.1" customHeight="1" thickBot="1" x14ac:dyDescent="0.4">
      <c r="B50" s="37"/>
      <c r="C50" s="120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83"/>
      <c r="P50" s="38"/>
      <c r="Q50" s="39"/>
    </row>
    <row r="51" spans="2:19" s="18" customFormat="1" ht="25.15" customHeight="1" thickBot="1" x14ac:dyDescent="0.4">
      <c r="B51" s="40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 t="s">
        <v>2</v>
      </c>
      <c r="P51" s="85">
        <f>SUM(P49:P50)</f>
        <v>0</v>
      </c>
      <c r="Q51" s="86">
        <f>SUM(Q49:Q50)</f>
        <v>0</v>
      </c>
    </row>
    <row r="52" spans="2:19" ht="25.15" customHeight="1" x14ac:dyDescent="0.35">
      <c r="B52" s="4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0"/>
      <c r="S52" s="20"/>
    </row>
    <row r="53" spans="2:19" s="18" customFormat="1" ht="25.15" customHeight="1" thickBot="1" x14ac:dyDescent="0.4">
      <c r="B53" s="29" t="s">
        <v>7</v>
      </c>
      <c r="C53" s="30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17"/>
      <c r="S53" s="17"/>
    </row>
    <row r="54" spans="2:19" ht="73.5" customHeight="1" thickTop="1" thickBot="1" x14ac:dyDescent="0.25">
      <c r="B54" s="71" t="s">
        <v>3</v>
      </c>
      <c r="C54" s="191" t="s">
        <v>11</v>
      </c>
      <c r="D54" s="191"/>
      <c r="E54" s="191"/>
      <c r="F54" s="191"/>
      <c r="G54" s="191"/>
      <c r="H54" s="191"/>
      <c r="I54" s="191"/>
      <c r="J54" s="180" t="s">
        <v>36</v>
      </c>
      <c r="K54" s="181"/>
      <c r="L54" s="181"/>
      <c r="M54" s="181"/>
      <c r="N54" s="182"/>
      <c r="O54" s="112" t="s">
        <v>42</v>
      </c>
      <c r="P54" s="74" t="s">
        <v>4</v>
      </c>
      <c r="Q54" s="73" t="s">
        <v>35</v>
      </c>
      <c r="R54" s="2"/>
      <c r="S54" s="2"/>
    </row>
    <row r="55" spans="2:19" ht="38.1" customHeight="1" x14ac:dyDescent="0.35">
      <c r="B55" s="34"/>
      <c r="C55" s="184"/>
      <c r="D55" s="185"/>
      <c r="E55" s="185"/>
      <c r="F55" s="185"/>
      <c r="G55" s="185"/>
      <c r="H55" s="185"/>
      <c r="I55" s="192"/>
      <c r="J55" s="103"/>
      <c r="K55" s="104"/>
      <c r="L55" s="104"/>
      <c r="M55" s="104"/>
      <c r="N55" s="104"/>
      <c r="O55" s="111"/>
      <c r="P55" s="42"/>
      <c r="Q55" s="43"/>
      <c r="R55" s="2"/>
      <c r="S55" s="2"/>
    </row>
    <row r="56" spans="2:19" ht="38.1" customHeight="1" x14ac:dyDescent="0.35">
      <c r="B56" s="34"/>
      <c r="C56" s="195"/>
      <c r="D56" s="196"/>
      <c r="E56" s="196"/>
      <c r="F56" s="196"/>
      <c r="G56" s="196"/>
      <c r="H56" s="196"/>
      <c r="I56" s="197"/>
      <c r="J56" s="107"/>
      <c r="K56" s="108"/>
      <c r="L56" s="108"/>
      <c r="M56" s="108"/>
      <c r="N56" s="108"/>
      <c r="O56" s="109"/>
      <c r="P56" s="42"/>
      <c r="Q56" s="43"/>
      <c r="R56" s="2"/>
      <c r="S56" s="2"/>
    </row>
    <row r="57" spans="2:19" ht="38.1" customHeight="1" thickBot="1" x14ac:dyDescent="0.4">
      <c r="B57" s="37"/>
      <c r="C57" s="120"/>
      <c r="D57" s="121"/>
      <c r="E57" s="121"/>
      <c r="F57" s="121"/>
      <c r="G57" s="121"/>
      <c r="H57" s="121"/>
      <c r="I57" s="122"/>
      <c r="J57" s="105"/>
      <c r="K57" s="106"/>
      <c r="L57" s="106"/>
      <c r="M57" s="106"/>
      <c r="N57" s="106"/>
      <c r="O57" s="110"/>
      <c r="P57" s="42"/>
      <c r="Q57" s="43"/>
      <c r="R57" s="2"/>
      <c r="S57" s="2"/>
    </row>
    <row r="58" spans="2:19" ht="27.4" customHeight="1" thickBot="1" x14ac:dyDescent="0.4">
      <c r="B58" s="44"/>
      <c r="C58" s="44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 t="s">
        <v>2</v>
      </c>
      <c r="P58" s="87">
        <f>SUM(P55:P57)</f>
        <v>0</v>
      </c>
      <c r="Q58" s="88">
        <f>SUM(Q55:Q57)</f>
        <v>0</v>
      </c>
      <c r="R58" s="2"/>
      <c r="S58" s="2"/>
    </row>
    <row r="59" spans="2:19" ht="10.9" customHeight="1" thickTop="1" x14ac:dyDescent="0.35">
      <c r="B59" s="44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17"/>
      <c r="S59" s="17"/>
    </row>
    <row r="60" spans="2:19" s="18" customFormat="1" ht="27.4" customHeight="1" x14ac:dyDescent="0.35">
      <c r="B60" s="29" t="s">
        <v>25</v>
      </c>
      <c r="C60" s="40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17"/>
      <c r="S60" s="17"/>
    </row>
    <row r="61" spans="2:19" s="18" customFormat="1" ht="7.5" customHeight="1" x14ac:dyDescent="0.35">
      <c r="B61" s="44"/>
      <c r="C61" s="30"/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9" s="18" customFormat="1" ht="25.15" customHeight="1" thickBot="1" x14ac:dyDescent="0.25">
      <c r="B62" s="200" t="s">
        <v>16</v>
      </c>
      <c r="C62" s="200"/>
      <c r="D62" s="200"/>
      <c r="E62" s="200"/>
      <c r="F62" s="200"/>
      <c r="G62" s="45"/>
      <c r="H62" s="187" t="s">
        <v>26</v>
      </c>
      <c r="I62" s="188"/>
      <c r="J62" s="188"/>
      <c r="K62" s="189"/>
      <c r="L62" s="46"/>
      <c r="M62" s="45"/>
      <c r="N62" s="45"/>
      <c r="O62" s="45"/>
      <c r="P62" s="45"/>
      <c r="Q62" s="45"/>
    </row>
    <row r="63" spans="2:19" ht="27.4" customHeight="1" thickTop="1" thickBot="1" x14ac:dyDescent="0.25">
      <c r="B63" s="190" t="s">
        <v>12</v>
      </c>
      <c r="C63" s="190"/>
      <c r="D63" s="201" t="s">
        <v>48</v>
      </c>
      <c r="E63" s="201"/>
      <c r="F63" s="201"/>
      <c r="G63" s="46"/>
      <c r="H63" s="178" t="s">
        <v>14</v>
      </c>
      <c r="I63" s="179"/>
      <c r="J63" s="47" t="s">
        <v>17</v>
      </c>
      <c r="K63" s="47" t="s">
        <v>18</v>
      </c>
      <c r="L63" s="48"/>
      <c r="M63" s="46"/>
      <c r="N63" s="46"/>
      <c r="O63" s="46"/>
      <c r="P63" s="46"/>
      <c r="Q63" s="126" t="s">
        <v>24</v>
      </c>
      <c r="R63" s="2"/>
      <c r="S63" s="2"/>
    </row>
    <row r="64" spans="2:19" ht="27.4" customHeight="1" thickBot="1" x14ac:dyDescent="0.25">
      <c r="B64" s="128" t="s">
        <v>13</v>
      </c>
      <c r="C64" s="128"/>
      <c r="D64" s="119" t="s">
        <v>49</v>
      </c>
      <c r="E64" s="119"/>
      <c r="F64" s="119"/>
      <c r="G64" s="46"/>
      <c r="H64" s="176" t="s">
        <v>30</v>
      </c>
      <c r="I64" s="177"/>
      <c r="J64" s="49">
        <v>0.31</v>
      </c>
      <c r="K64" s="49">
        <v>0.25666666666666665</v>
      </c>
      <c r="L64" s="48"/>
      <c r="M64" s="46"/>
      <c r="N64" s="46"/>
      <c r="O64" s="46"/>
      <c r="P64" s="46"/>
      <c r="Q64" s="127"/>
      <c r="R64" s="2"/>
      <c r="S64" s="2"/>
    </row>
    <row r="65" spans="2:19" ht="27.4" customHeight="1" thickBot="1" x14ac:dyDescent="0.25">
      <c r="B65" s="128" t="s">
        <v>14</v>
      </c>
      <c r="C65" s="128"/>
      <c r="D65" s="119">
        <v>1900</v>
      </c>
      <c r="E65" s="119"/>
      <c r="F65" s="119"/>
      <c r="G65" s="46"/>
      <c r="H65" s="174" t="s">
        <v>29</v>
      </c>
      <c r="I65" s="175"/>
      <c r="J65" s="50">
        <v>0.36666666666666664</v>
      </c>
      <c r="K65" s="50">
        <v>0.27</v>
      </c>
      <c r="L65" s="48"/>
      <c r="M65" s="46"/>
      <c r="N65" s="46"/>
      <c r="O65" s="46"/>
      <c r="P65" s="46"/>
      <c r="Q65" s="89">
        <f>D66*D45</f>
        <v>102.3</v>
      </c>
      <c r="R65" s="2"/>
      <c r="S65" s="2"/>
    </row>
    <row r="66" spans="2:19" ht="27.4" customHeight="1" thickTop="1" x14ac:dyDescent="0.25">
      <c r="B66" s="198" t="s">
        <v>15</v>
      </c>
      <c r="C66" s="198"/>
      <c r="D66" s="199">
        <v>0.31</v>
      </c>
      <c r="E66" s="199"/>
      <c r="F66" s="199"/>
      <c r="G66" s="46"/>
      <c r="H66" s="172" t="s">
        <v>28</v>
      </c>
      <c r="I66" s="173"/>
      <c r="J66" s="51">
        <v>0.45</v>
      </c>
      <c r="K66" s="51">
        <v>0.31</v>
      </c>
      <c r="L66" s="48"/>
      <c r="M66" s="46"/>
      <c r="N66" s="46"/>
      <c r="O66" s="46"/>
      <c r="P66" s="46"/>
      <c r="Q66" s="46"/>
      <c r="R66" s="17"/>
      <c r="S66" s="2"/>
    </row>
    <row r="67" spans="2:19" ht="27.4" customHeight="1" x14ac:dyDescent="0.35">
      <c r="B67" s="52"/>
      <c r="C67" s="53"/>
      <c r="D67" s="40"/>
      <c r="E67" s="40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17"/>
      <c r="S67" s="17"/>
    </row>
    <row r="68" spans="2:19" ht="30" customHeight="1" x14ac:dyDescent="0.35">
      <c r="B68" s="41"/>
      <c r="C68" s="129" t="s">
        <v>20</v>
      </c>
      <c r="D68" s="129"/>
      <c r="E68" s="7"/>
      <c r="F68" s="130" t="s">
        <v>52</v>
      </c>
      <c r="G68" s="131"/>
      <c r="H68" s="131"/>
      <c r="I68" s="132"/>
      <c r="J68" s="7"/>
      <c r="K68" s="7"/>
      <c r="L68" s="40"/>
      <c r="M68" s="40"/>
      <c r="N68" s="40"/>
      <c r="O68" s="40"/>
      <c r="P68" s="7"/>
      <c r="Q68" s="7"/>
      <c r="R68" s="16"/>
      <c r="S68" s="16"/>
    </row>
    <row r="69" spans="2:19" ht="21.75" customHeight="1" thickBot="1" x14ac:dyDescent="0.4">
      <c r="B69" s="41"/>
      <c r="C69" s="40"/>
      <c r="D69" s="4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2"/>
      <c r="S69" s="2"/>
    </row>
    <row r="70" spans="2:19" ht="30" customHeight="1" thickTop="1" thickBot="1" x14ac:dyDescent="0.4">
      <c r="B70" s="41"/>
      <c r="C70" s="129" t="s">
        <v>19</v>
      </c>
      <c r="D70" s="129"/>
      <c r="E70" s="7"/>
      <c r="F70" s="123"/>
      <c r="G70" s="124"/>
      <c r="H70" s="124"/>
      <c r="I70" s="125"/>
      <c r="J70" s="7"/>
      <c r="K70" s="7"/>
      <c r="L70" s="40"/>
      <c r="M70" s="7"/>
      <c r="N70" s="7"/>
      <c r="O70" s="7"/>
      <c r="P70" s="170" t="s">
        <v>27</v>
      </c>
      <c r="Q70" s="171"/>
      <c r="R70" s="2"/>
      <c r="S70" s="2"/>
    </row>
    <row r="71" spans="2:19" ht="42.6" customHeight="1" thickTop="1" x14ac:dyDescent="0.35">
      <c r="B71" s="41"/>
      <c r="C71" s="40"/>
      <c r="D71" s="4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5" t="s">
        <v>4</v>
      </c>
      <c r="Q71" s="76" t="s">
        <v>35</v>
      </c>
      <c r="R71" s="2"/>
      <c r="S71" s="2"/>
    </row>
    <row r="72" spans="2:19" ht="30" customHeight="1" thickBot="1" x14ac:dyDescent="0.4">
      <c r="B72" s="41"/>
      <c r="C72" s="129" t="s">
        <v>21</v>
      </c>
      <c r="D72" s="129"/>
      <c r="E72" s="7"/>
      <c r="F72" s="54" t="s">
        <v>22</v>
      </c>
      <c r="G72" s="123" t="s">
        <v>46</v>
      </c>
      <c r="H72" s="124"/>
      <c r="I72" s="125"/>
      <c r="J72" s="7" t="s">
        <v>23</v>
      </c>
      <c r="K72" s="123"/>
      <c r="L72" s="124"/>
      <c r="M72" s="125"/>
      <c r="N72" s="99"/>
      <c r="O72" s="7"/>
      <c r="P72" s="92">
        <f>P45+Q51-P51+P58+Q65</f>
        <v>118.2</v>
      </c>
      <c r="Q72" s="90">
        <f>Q58+Q45</f>
        <v>0</v>
      </c>
      <c r="R72" s="2"/>
      <c r="S72" s="2"/>
    </row>
    <row r="73" spans="2:19" ht="28.5" customHeight="1" thickTop="1" thickBot="1" x14ac:dyDescent="0.3">
      <c r="C73" s="19"/>
      <c r="D73" s="19"/>
      <c r="E73" s="22"/>
      <c r="F73" s="22"/>
      <c r="G73" s="22"/>
      <c r="L73" s="21"/>
      <c r="M73" s="21"/>
      <c r="N73" s="21"/>
      <c r="Q73" s="21"/>
    </row>
    <row r="74" spans="2:19" ht="28.5" customHeight="1" thickTop="1" thickBot="1" x14ac:dyDescent="0.4">
      <c r="M74" s="22"/>
      <c r="N74" s="22"/>
      <c r="O74" s="115" t="s">
        <v>43</v>
      </c>
      <c r="P74" s="113"/>
      <c r="Q74" s="114"/>
    </row>
    <row r="75" spans="2:19" ht="13.5" thickTop="1" x14ac:dyDescent="0.2">
      <c r="O75" s="21"/>
      <c r="Q75" s="21"/>
    </row>
    <row r="76" spans="2:19" ht="26.45" customHeight="1" x14ac:dyDescent="0.35">
      <c r="C76" s="19"/>
      <c r="D76" s="21"/>
      <c r="E76" s="21"/>
      <c r="F76" s="21"/>
      <c r="G76" s="21"/>
      <c r="H76" s="21"/>
      <c r="J76" s="54" t="s">
        <v>44</v>
      </c>
      <c r="K76" s="123"/>
      <c r="L76" s="124"/>
      <c r="M76" s="125"/>
      <c r="O76" s="21"/>
      <c r="Q76" s="21"/>
    </row>
    <row r="77" spans="2:19" x14ac:dyDescent="0.2">
      <c r="C77" s="21"/>
      <c r="D77" s="21"/>
      <c r="E77" s="21"/>
      <c r="F77" s="21"/>
      <c r="G77" s="21"/>
      <c r="H77" s="21"/>
      <c r="O77" s="21"/>
      <c r="Q77" s="21"/>
    </row>
    <row r="78" spans="2:19" x14ac:dyDescent="0.2">
      <c r="O78" s="21"/>
      <c r="Q78" s="21"/>
    </row>
    <row r="79" spans="2:19" x14ac:dyDescent="0.2">
      <c r="O79" s="21"/>
      <c r="Q79" s="21"/>
    </row>
    <row r="80" spans="2:19" x14ac:dyDescent="0.2">
      <c r="O80" s="21"/>
      <c r="Q80" s="21"/>
    </row>
  </sheetData>
  <mergeCells count="81">
    <mergeCell ref="D7:E7"/>
    <mergeCell ref="J7:Q7"/>
    <mergeCell ref="N12:N13"/>
    <mergeCell ref="D22:E22"/>
    <mergeCell ref="D21:E21"/>
    <mergeCell ref="D38:E38"/>
    <mergeCell ref="D39:E39"/>
    <mergeCell ref="D40:E40"/>
    <mergeCell ref="H62:K62"/>
    <mergeCell ref="C70:D70"/>
    <mergeCell ref="B63:C63"/>
    <mergeCell ref="C54:I54"/>
    <mergeCell ref="C55:I55"/>
    <mergeCell ref="D45:E45"/>
    <mergeCell ref="D41:E41"/>
    <mergeCell ref="C56:I56"/>
    <mergeCell ref="B66:C66"/>
    <mergeCell ref="D65:F65"/>
    <mergeCell ref="D66:F66"/>
    <mergeCell ref="B62:F62"/>
    <mergeCell ref="D63:F63"/>
    <mergeCell ref="D23:E23"/>
    <mergeCell ref="P70:Q70"/>
    <mergeCell ref="H66:I66"/>
    <mergeCell ref="H65:I65"/>
    <mergeCell ref="H64:I64"/>
    <mergeCell ref="H63:I63"/>
    <mergeCell ref="D24:E24"/>
    <mergeCell ref="D25:E25"/>
    <mergeCell ref="C48:O48"/>
    <mergeCell ref="D36:E36"/>
    <mergeCell ref="D37:E37"/>
    <mergeCell ref="D26:E26"/>
    <mergeCell ref="D42:E42"/>
    <mergeCell ref="C50:O50"/>
    <mergeCell ref="C49:O49"/>
    <mergeCell ref="J54:N54"/>
    <mergeCell ref="F2:Q5"/>
    <mergeCell ref="D43:E43"/>
    <mergeCell ref="D44:E44"/>
    <mergeCell ref="B2:E5"/>
    <mergeCell ref="H12:I12"/>
    <mergeCell ref="L12:M12"/>
    <mergeCell ref="J12:K12"/>
    <mergeCell ref="D35:E35"/>
    <mergeCell ref="D27:E27"/>
    <mergeCell ref="D28:E28"/>
    <mergeCell ref="D29:E29"/>
    <mergeCell ref="D34:E34"/>
    <mergeCell ref="D30:E30"/>
    <mergeCell ref="D31:E31"/>
    <mergeCell ref="D32:E32"/>
    <mergeCell ref="D33:E33"/>
    <mergeCell ref="R10:S10"/>
    <mergeCell ref="F10:I10"/>
    <mergeCell ref="F12:G12"/>
    <mergeCell ref="D20:E20"/>
    <mergeCell ref="D19:E19"/>
    <mergeCell ref="D13:E13"/>
    <mergeCell ref="D14:E14"/>
    <mergeCell ref="D15:E15"/>
    <mergeCell ref="D16:E16"/>
    <mergeCell ref="D17:E17"/>
    <mergeCell ref="D18:E18"/>
    <mergeCell ref="L10:O10"/>
    <mergeCell ref="P12:Q12"/>
    <mergeCell ref="O12:O13"/>
    <mergeCell ref="D9:E11"/>
    <mergeCell ref="B12:E12"/>
    <mergeCell ref="D64:F64"/>
    <mergeCell ref="C57:I57"/>
    <mergeCell ref="K76:M76"/>
    <mergeCell ref="K72:M72"/>
    <mergeCell ref="Q63:Q64"/>
    <mergeCell ref="B64:C64"/>
    <mergeCell ref="B65:C65"/>
    <mergeCell ref="C72:D72"/>
    <mergeCell ref="G72:I72"/>
    <mergeCell ref="C68:D68"/>
    <mergeCell ref="F70:I70"/>
    <mergeCell ref="F68:I68"/>
  </mergeCells>
  <phoneticPr fontId="0" type="noConversion"/>
  <dataValidations count="2">
    <dataValidation type="list" showInputMessage="1" showErrorMessage="1" prompt="selezionare il valore" sqref="D66:F66" xr:uid="{F6BA8044-AF79-444A-8608-3130BE2E3307}">
      <formula1>costochilometrico</formula1>
    </dataValidation>
    <dataValidation type="list" allowBlank="1" showInputMessage="1" showErrorMessage="1" sqref="N14:N44 O55:O57" xr:uid="{3267655D-5525-4685-BDCB-1ECB97CAECDA}">
      <formula1>$S$1:$S$2</formula1>
    </dataValidation>
  </dataValidations>
  <printOptions horizontalCentered="1" verticalCentered="1"/>
  <pageMargins left="0.19685039370078741" right="0.19685039370078741" top="0.19685039370078741" bottom="0.19685039370078741" header="0" footer="0"/>
  <pageSetup paperSize="9" scale="35" orientation="portrait" horizontalDpi="300" verticalDpi="300" r:id="rId1"/>
  <headerFooter alignWithMargins="0"/>
  <rowBreaks count="1" manualBreakCount="1">
    <brk id="45" min="1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85DA7-8171-4D93-A228-3E41599F0635}">
  <dimension ref="A1:A8"/>
  <sheetViews>
    <sheetView workbookViewId="0">
      <selection sqref="A1:A8"/>
    </sheetView>
  </sheetViews>
  <sheetFormatPr defaultRowHeight="12.75" x14ac:dyDescent="0.2"/>
  <sheetData>
    <row r="1" spans="1:1" ht="21" x14ac:dyDescent="0.2">
      <c r="A1" s="47" t="s">
        <v>17</v>
      </c>
    </row>
    <row r="2" spans="1:1" ht="21" x14ac:dyDescent="0.2">
      <c r="A2" s="49">
        <v>0.31</v>
      </c>
    </row>
    <row r="3" spans="1:1" ht="21" x14ac:dyDescent="0.2">
      <c r="A3" s="50">
        <v>0.36666666666666664</v>
      </c>
    </row>
    <row r="4" spans="1:1" ht="21" x14ac:dyDescent="0.2">
      <c r="A4" s="51">
        <v>0.45</v>
      </c>
    </row>
    <row r="5" spans="1:1" ht="21" x14ac:dyDescent="0.2">
      <c r="A5" s="47" t="s">
        <v>18</v>
      </c>
    </row>
    <row r="6" spans="1:1" ht="21" x14ac:dyDescent="0.2">
      <c r="A6" s="49">
        <v>0.25666666666666665</v>
      </c>
    </row>
    <row r="7" spans="1:1" ht="21" x14ac:dyDescent="0.2">
      <c r="A7" s="50">
        <v>0.27</v>
      </c>
    </row>
    <row r="8" spans="1:1" ht="21" x14ac:dyDescent="0.2">
      <c r="A8" s="51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Nota Spese</vt:lpstr>
      <vt:lpstr>Foglio1</vt:lpstr>
      <vt:lpstr>costochilometrico</vt:lpstr>
      <vt:lpstr>'Nota Spese'!Print_Area</vt:lpstr>
      <vt:lpstr>'Nota Spese'!Print_Titles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2017-12-03T13:57:42Z</dcterms:created>
  <dcterms:modified xsi:type="dcterms:W3CDTF">2021-07-30T12:23:22Z</dcterms:modified>
</cp:coreProperties>
</file>