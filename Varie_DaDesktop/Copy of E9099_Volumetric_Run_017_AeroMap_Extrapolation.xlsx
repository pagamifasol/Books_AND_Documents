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8_{FB67F41E-4A13-4E61-9F20-10F27C01804A}" xr6:coauthVersionLast="46" xr6:coauthVersionMax="46" xr10:uidLastSave="{00000000-0000-0000-0000-000000000000}"/>
  <bookViews>
    <workbookView xWindow="-38520" yWindow="-120" windowWidth="38640" windowHeight="15840" xr2:uid="{4F4BCDEF-A7FF-4666-89FD-506BA356A082}"/>
  </bookViews>
  <sheets>
    <sheet name="VolumetricModelExport" sheetId="1" r:id="rId1"/>
    <sheet name="Summary" sheetId="2" r:id="rId2"/>
    <sheet name="Sensitivi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" i="3" l="1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L4" i="3"/>
  <c r="AK4" i="3"/>
  <c r="AJ4" i="3"/>
  <c r="AI2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I4" i="3"/>
  <c r="AH4" i="3"/>
  <c r="AG4" i="3"/>
  <c r="AF18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F4" i="3"/>
  <c r="AE4" i="3"/>
  <c r="AD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4" i="3"/>
  <c r="K6" i="1"/>
  <c r="K5" i="1"/>
  <c r="K4" i="1"/>
  <c r="BA89" i="2"/>
  <c r="BB89" i="2"/>
  <c r="BC89" i="2"/>
  <c r="BD89" i="2"/>
  <c r="BE89" i="2"/>
  <c r="BF89" i="2"/>
  <c r="BG89" i="2"/>
  <c r="BH89" i="2"/>
  <c r="BA90" i="2"/>
  <c r="BB90" i="2"/>
  <c r="BC90" i="2"/>
  <c r="BD90" i="2"/>
  <c r="BE90" i="2"/>
  <c r="BF90" i="2"/>
  <c r="BG90" i="2"/>
  <c r="BH90" i="2"/>
  <c r="BA91" i="2"/>
  <c r="BB91" i="2"/>
  <c r="BC91" i="2"/>
  <c r="BD91" i="2"/>
  <c r="BE91" i="2"/>
  <c r="BF91" i="2"/>
  <c r="BG91" i="2"/>
  <c r="BH91" i="2"/>
  <c r="BA92" i="2"/>
  <c r="BB92" i="2"/>
  <c r="BC92" i="2"/>
  <c r="BD92" i="2"/>
  <c r="BE92" i="2"/>
  <c r="BF92" i="2"/>
  <c r="BG92" i="2"/>
  <c r="BH92" i="2"/>
  <c r="BA93" i="2"/>
  <c r="BB93" i="2"/>
  <c r="BC93" i="2"/>
  <c r="BD93" i="2"/>
  <c r="BE93" i="2"/>
  <c r="BF93" i="2"/>
  <c r="BG93" i="2"/>
  <c r="BH93" i="2"/>
  <c r="BB88" i="2"/>
  <c r="BC88" i="2"/>
  <c r="BD88" i="2"/>
  <c r="BE88" i="2"/>
  <c r="BF88" i="2"/>
  <c r="BG88" i="2"/>
  <c r="BH88" i="2"/>
  <c r="BA88" i="2"/>
  <c r="BA80" i="2"/>
  <c r="BB80" i="2"/>
  <c r="BC80" i="2"/>
  <c r="BD80" i="2"/>
  <c r="BE80" i="2"/>
  <c r="BF80" i="2"/>
  <c r="BG80" i="2"/>
  <c r="BH80" i="2"/>
  <c r="BA81" i="2"/>
  <c r="BB81" i="2"/>
  <c r="BC81" i="2"/>
  <c r="BD81" i="2"/>
  <c r="BE81" i="2"/>
  <c r="BF81" i="2"/>
  <c r="BG81" i="2"/>
  <c r="BH81" i="2"/>
  <c r="BA82" i="2"/>
  <c r="BB82" i="2"/>
  <c r="BC82" i="2"/>
  <c r="BD82" i="2"/>
  <c r="BE82" i="2"/>
  <c r="BF82" i="2"/>
  <c r="BG82" i="2"/>
  <c r="BH82" i="2"/>
  <c r="BA83" i="2"/>
  <c r="BB83" i="2"/>
  <c r="BC83" i="2"/>
  <c r="BD83" i="2"/>
  <c r="BE83" i="2"/>
  <c r="BF83" i="2"/>
  <c r="BG83" i="2"/>
  <c r="BH83" i="2"/>
  <c r="BA84" i="2"/>
  <c r="BB84" i="2"/>
  <c r="BC84" i="2"/>
  <c r="BD84" i="2"/>
  <c r="BE84" i="2"/>
  <c r="BF84" i="2"/>
  <c r="BG84" i="2"/>
  <c r="BH84" i="2"/>
  <c r="BB79" i="2"/>
  <c r="BC79" i="2"/>
  <c r="BD79" i="2"/>
  <c r="BE79" i="2"/>
  <c r="BF79" i="2"/>
  <c r="BG79" i="2"/>
  <c r="BH79" i="2"/>
  <c r="BA79" i="2"/>
  <c r="BF73" i="2"/>
  <c r="BA71" i="2"/>
  <c r="BB71" i="2"/>
  <c r="BC71" i="2"/>
  <c r="BD71" i="2"/>
  <c r="BE71" i="2"/>
  <c r="BF71" i="2"/>
  <c r="BG71" i="2"/>
  <c r="BH71" i="2"/>
  <c r="BA72" i="2"/>
  <c r="BB72" i="2"/>
  <c r="BC72" i="2"/>
  <c r="BD72" i="2"/>
  <c r="BE72" i="2"/>
  <c r="BF72" i="2"/>
  <c r="BG72" i="2"/>
  <c r="BH72" i="2"/>
  <c r="BA73" i="2"/>
  <c r="BB73" i="2"/>
  <c r="BC73" i="2"/>
  <c r="BD73" i="2"/>
  <c r="BE73" i="2"/>
  <c r="BG73" i="2"/>
  <c r="BH73" i="2"/>
  <c r="BA74" i="2"/>
  <c r="BB74" i="2"/>
  <c r="BC74" i="2"/>
  <c r="BD74" i="2"/>
  <c r="BE74" i="2"/>
  <c r="BF74" i="2"/>
  <c r="BG74" i="2"/>
  <c r="BH74" i="2"/>
  <c r="BA75" i="2"/>
  <c r="BB75" i="2"/>
  <c r="BC75" i="2"/>
  <c r="BD75" i="2"/>
  <c r="BE75" i="2"/>
  <c r="BF75" i="2"/>
  <c r="BG75" i="2"/>
  <c r="BH75" i="2"/>
  <c r="BB70" i="2"/>
  <c r="BC70" i="2"/>
  <c r="BD70" i="2"/>
  <c r="BE70" i="2"/>
  <c r="BF70" i="2"/>
  <c r="BG70" i="2"/>
  <c r="BH70" i="2"/>
  <c r="BA70" i="2"/>
  <c r="BA62" i="2"/>
  <c r="BB62" i="2"/>
  <c r="BC62" i="2"/>
  <c r="BD62" i="2"/>
  <c r="BE62" i="2"/>
  <c r="BF62" i="2"/>
  <c r="BG62" i="2"/>
  <c r="BH62" i="2"/>
  <c r="BA63" i="2"/>
  <c r="BB63" i="2"/>
  <c r="BC63" i="2"/>
  <c r="BD63" i="2"/>
  <c r="BE63" i="2"/>
  <c r="BF63" i="2"/>
  <c r="BG63" i="2"/>
  <c r="BH63" i="2"/>
  <c r="BA64" i="2"/>
  <c r="BB64" i="2"/>
  <c r="BC64" i="2"/>
  <c r="BD64" i="2"/>
  <c r="BE64" i="2"/>
  <c r="BF64" i="2"/>
  <c r="BG64" i="2"/>
  <c r="BH64" i="2"/>
  <c r="BA65" i="2"/>
  <c r="BB65" i="2"/>
  <c r="BC65" i="2"/>
  <c r="BD65" i="2"/>
  <c r="BE65" i="2"/>
  <c r="BF65" i="2"/>
  <c r="BG65" i="2"/>
  <c r="BH65" i="2"/>
  <c r="BA66" i="2"/>
  <c r="BB66" i="2"/>
  <c r="BC66" i="2"/>
  <c r="BD66" i="2"/>
  <c r="BE66" i="2"/>
  <c r="BF66" i="2"/>
  <c r="BG66" i="2"/>
  <c r="BH66" i="2"/>
  <c r="BB61" i="2"/>
  <c r="BC61" i="2"/>
  <c r="BD61" i="2"/>
  <c r="BE61" i="2"/>
  <c r="BF61" i="2"/>
  <c r="BG61" i="2"/>
  <c r="BH61" i="2"/>
  <c r="BA61" i="2"/>
  <c r="BA53" i="2"/>
  <c r="BB53" i="2"/>
  <c r="BC53" i="2"/>
  <c r="BD53" i="2"/>
  <c r="BE53" i="2"/>
  <c r="BF53" i="2"/>
  <c r="BG53" i="2"/>
  <c r="BH53" i="2"/>
  <c r="BA54" i="2"/>
  <c r="BB54" i="2"/>
  <c r="BC54" i="2"/>
  <c r="BD54" i="2"/>
  <c r="BE54" i="2"/>
  <c r="BF54" i="2"/>
  <c r="BG54" i="2"/>
  <c r="BH54" i="2"/>
  <c r="BA55" i="2"/>
  <c r="BB55" i="2"/>
  <c r="BC55" i="2"/>
  <c r="BD55" i="2"/>
  <c r="BE55" i="2"/>
  <c r="BF55" i="2"/>
  <c r="BG55" i="2"/>
  <c r="BH55" i="2"/>
  <c r="BA56" i="2"/>
  <c r="BB56" i="2"/>
  <c r="BC56" i="2"/>
  <c r="BD56" i="2"/>
  <c r="BE56" i="2"/>
  <c r="BF56" i="2"/>
  <c r="BG56" i="2"/>
  <c r="BH56" i="2"/>
  <c r="BA57" i="2"/>
  <c r="BB57" i="2"/>
  <c r="BC57" i="2"/>
  <c r="BD57" i="2"/>
  <c r="BE57" i="2"/>
  <c r="BF57" i="2"/>
  <c r="BG57" i="2"/>
  <c r="BH57" i="2"/>
  <c r="BB52" i="2"/>
  <c r="BC52" i="2"/>
  <c r="BD52" i="2"/>
  <c r="BE52" i="2"/>
  <c r="BF52" i="2"/>
  <c r="BG52" i="2"/>
  <c r="BH52" i="2"/>
  <c r="BA52" i="2"/>
  <c r="R291" i="1"/>
  <c r="R292" i="1"/>
  <c r="R293" i="1"/>
  <c r="R294" i="1"/>
  <c r="S294" i="1" s="1"/>
  <c r="R295" i="1"/>
  <c r="T295" i="1" s="1"/>
  <c r="R296" i="1"/>
  <c r="R297" i="1"/>
  <c r="R298" i="1"/>
  <c r="R299" i="1"/>
  <c r="R300" i="1"/>
  <c r="R301" i="1"/>
  <c r="R302" i="1"/>
  <c r="R303" i="1"/>
  <c r="T303" i="1" s="1"/>
  <c r="R304" i="1"/>
  <c r="R305" i="1"/>
  <c r="S305" i="1" s="1"/>
  <c r="R306" i="1"/>
  <c r="R307" i="1"/>
  <c r="R308" i="1"/>
  <c r="S302" i="1"/>
  <c r="R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290" i="1"/>
  <c r="P290" i="1"/>
  <c r="K280" i="1"/>
  <c r="L285" i="1"/>
  <c r="L284" i="1"/>
  <c r="L283" i="1"/>
  <c r="K283" i="1"/>
  <c r="K282" i="1"/>
  <c r="R281" i="1"/>
  <c r="K281" i="1"/>
  <c r="R280" i="1"/>
  <c r="P275" i="1"/>
  <c r="K271" i="1"/>
  <c r="L276" i="1"/>
  <c r="R274" i="1"/>
  <c r="K274" i="1"/>
  <c r="K273" i="1"/>
  <c r="R272" i="1"/>
  <c r="K272" i="1"/>
  <c r="R271" i="1"/>
  <c r="K232" i="1"/>
  <c r="R236" i="1"/>
  <c r="R235" i="1"/>
  <c r="K234" i="1"/>
  <c r="K233" i="1"/>
  <c r="K223" i="1"/>
  <c r="R228" i="1"/>
  <c r="K225" i="1"/>
  <c r="K224" i="1"/>
  <c r="Q179" i="1"/>
  <c r="K175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0" i="1"/>
  <c r="K180" i="1"/>
  <c r="K179" i="1"/>
  <c r="R178" i="1"/>
  <c r="K178" i="1"/>
  <c r="R177" i="1"/>
  <c r="K177" i="1"/>
  <c r="R176" i="1"/>
  <c r="K176" i="1"/>
  <c r="R175" i="1"/>
  <c r="K136" i="1"/>
  <c r="K127" i="1"/>
  <c r="L141" i="1"/>
  <c r="K141" i="1"/>
  <c r="L140" i="1"/>
  <c r="K140" i="1"/>
  <c r="L139" i="1"/>
  <c r="K139" i="1"/>
  <c r="L138" i="1"/>
  <c r="K138" i="1"/>
  <c r="L137" i="1"/>
  <c r="K137" i="1"/>
  <c r="L136" i="1"/>
  <c r="K132" i="1"/>
  <c r="K131" i="1"/>
  <c r="R130" i="1"/>
  <c r="K130" i="1"/>
  <c r="R129" i="1"/>
  <c r="K129" i="1"/>
  <c r="R128" i="1"/>
  <c r="K128" i="1"/>
  <c r="R127" i="1"/>
  <c r="K88" i="1"/>
  <c r="R91" i="1"/>
  <c r="K79" i="1"/>
  <c r="R84" i="1"/>
  <c r="R82" i="1"/>
  <c r="K41" i="1"/>
  <c r="L42" i="1"/>
  <c r="L43" i="1"/>
  <c r="K45" i="1"/>
  <c r="L40" i="1"/>
  <c r="M40" i="1"/>
  <c r="K32" i="1"/>
  <c r="L32" i="1"/>
  <c r="L34" i="1"/>
  <c r="K36" i="1"/>
  <c r="L31" i="1"/>
  <c r="M31" i="1"/>
  <c r="P291" i="1"/>
  <c r="P292" i="1"/>
  <c r="T292" i="1"/>
  <c r="P293" i="1"/>
  <c r="T293" i="1"/>
  <c r="P294" i="1"/>
  <c r="T294" i="1"/>
  <c r="P295" i="1"/>
  <c r="P296" i="1"/>
  <c r="P297" i="1"/>
  <c r="P298" i="1"/>
  <c r="P299" i="1"/>
  <c r="P300" i="1"/>
  <c r="T300" i="1"/>
  <c r="P301" i="1"/>
  <c r="T301" i="1"/>
  <c r="P302" i="1"/>
  <c r="T302" i="1"/>
  <c r="P303" i="1"/>
  <c r="P304" i="1"/>
  <c r="P305" i="1"/>
  <c r="P306" i="1"/>
  <c r="P307" i="1"/>
  <c r="P308" i="1"/>
  <c r="T308" i="1"/>
  <c r="T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290" i="1"/>
  <c r="P266" i="1"/>
  <c r="L265" i="1"/>
  <c r="L264" i="1"/>
  <c r="L258" i="1"/>
  <c r="Q257" i="1"/>
  <c r="O256" i="1"/>
  <c r="L255" i="1"/>
  <c r="L282" i="1" s="1"/>
  <c r="Q249" i="1"/>
  <c r="N247" i="1"/>
  <c r="K246" i="1"/>
  <c r="R267" i="1"/>
  <c r="Q267" i="1"/>
  <c r="P267" i="1"/>
  <c r="O267" i="1"/>
  <c r="N267" i="1"/>
  <c r="M267" i="1"/>
  <c r="L267" i="1"/>
  <c r="K267" i="1"/>
  <c r="R266" i="1"/>
  <c r="Q266" i="1"/>
  <c r="O266" i="1"/>
  <c r="N266" i="1"/>
  <c r="M266" i="1"/>
  <c r="L266" i="1"/>
  <c r="K266" i="1"/>
  <c r="R265" i="1"/>
  <c r="Q265" i="1"/>
  <c r="P265" i="1"/>
  <c r="O265" i="1"/>
  <c r="N265" i="1"/>
  <c r="M265" i="1"/>
  <c r="K265" i="1"/>
  <c r="R264" i="1"/>
  <c r="Q264" i="1"/>
  <c r="P264" i="1"/>
  <c r="O264" i="1"/>
  <c r="N264" i="1"/>
  <c r="M264" i="1"/>
  <c r="M282" i="1" s="1"/>
  <c r="K264" i="1"/>
  <c r="R263" i="1"/>
  <c r="Q263" i="1"/>
  <c r="P263" i="1"/>
  <c r="O263" i="1"/>
  <c r="N263" i="1"/>
  <c r="M263" i="1"/>
  <c r="L263" i="1"/>
  <c r="K263" i="1"/>
  <c r="R262" i="1"/>
  <c r="Q262" i="1"/>
  <c r="P262" i="1"/>
  <c r="O262" i="1"/>
  <c r="N262" i="1"/>
  <c r="M262" i="1"/>
  <c r="L262" i="1"/>
  <c r="K262" i="1"/>
  <c r="R258" i="1"/>
  <c r="R285" i="1" s="1"/>
  <c r="Q258" i="1"/>
  <c r="Q285" i="1" s="1"/>
  <c r="P258" i="1"/>
  <c r="O258" i="1"/>
  <c r="O285" i="1" s="1"/>
  <c r="N258" i="1"/>
  <c r="N285" i="1" s="1"/>
  <c r="M258" i="1"/>
  <c r="K258" i="1"/>
  <c r="K285" i="1" s="1"/>
  <c r="R257" i="1"/>
  <c r="R284" i="1" s="1"/>
  <c r="P257" i="1"/>
  <c r="P284" i="1" s="1"/>
  <c r="O257" i="1"/>
  <c r="N257" i="1"/>
  <c r="N275" i="1" s="1"/>
  <c r="M257" i="1"/>
  <c r="M275" i="1" s="1"/>
  <c r="L257" i="1"/>
  <c r="L275" i="1" s="1"/>
  <c r="K257" i="1"/>
  <c r="K275" i="1" s="1"/>
  <c r="R256" i="1"/>
  <c r="R283" i="1" s="1"/>
  <c r="Q256" i="1"/>
  <c r="Q274" i="1" s="1"/>
  <c r="P256" i="1"/>
  <c r="P274" i="1" s="1"/>
  <c r="N256" i="1"/>
  <c r="N274" i="1" s="1"/>
  <c r="M256" i="1"/>
  <c r="M274" i="1" s="1"/>
  <c r="L256" i="1"/>
  <c r="L274" i="1" s="1"/>
  <c r="K256" i="1"/>
  <c r="R255" i="1"/>
  <c r="R282" i="1" s="1"/>
  <c r="Q255" i="1"/>
  <c r="P255" i="1"/>
  <c r="P273" i="1" s="1"/>
  <c r="O255" i="1"/>
  <c r="O273" i="1" s="1"/>
  <c r="N255" i="1"/>
  <c r="M255" i="1"/>
  <c r="M273" i="1" s="1"/>
  <c r="K255" i="1"/>
  <c r="R254" i="1"/>
  <c r="Q254" i="1"/>
  <c r="P254" i="1"/>
  <c r="O254" i="1"/>
  <c r="O281" i="1" s="1"/>
  <c r="N254" i="1"/>
  <c r="N281" i="1" s="1"/>
  <c r="M254" i="1"/>
  <c r="L254" i="1"/>
  <c r="L281" i="1" s="1"/>
  <c r="K254" i="1"/>
  <c r="R253" i="1"/>
  <c r="Q253" i="1"/>
  <c r="P253" i="1"/>
  <c r="O253" i="1"/>
  <c r="O280" i="1" s="1"/>
  <c r="N253" i="1"/>
  <c r="N280" i="1" s="1"/>
  <c r="M253" i="1"/>
  <c r="L253" i="1"/>
  <c r="L280" i="1" s="1"/>
  <c r="K253" i="1"/>
  <c r="R249" i="1"/>
  <c r="P249" i="1"/>
  <c r="O249" i="1"/>
  <c r="N249" i="1"/>
  <c r="M249" i="1"/>
  <c r="L249" i="1"/>
  <c r="K249" i="1"/>
  <c r="R248" i="1"/>
  <c r="Q248" i="1"/>
  <c r="P248" i="1"/>
  <c r="O248" i="1"/>
  <c r="N248" i="1"/>
  <c r="M248" i="1"/>
  <c r="L248" i="1"/>
  <c r="K248" i="1"/>
  <c r="R247" i="1"/>
  <c r="Q247" i="1"/>
  <c r="P247" i="1"/>
  <c r="O247" i="1"/>
  <c r="M247" i="1"/>
  <c r="L247" i="1"/>
  <c r="K247" i="1"/>
  <c r="R246" i="1"/>
  <c r="Q246" i="1"/>
  <c r="P246" i="1"/>
  <c r="O246" i="1"/>
  <c r="N246" i="1"/>
  <c r="M246" i="1"/>
  <c r="L246" i="1"/>
  <c r="R245" i="1"/>
  <c r="Q245" i="1"/>
  <c r="P245" i="1"/>
  <c r="O245" i="1"/>
  <c r="N245" i="1"/>
  <c r="M245" i="1"/>
  <c r="L245" i="1"/>
  <c r="K245" i="1"/>
  <c r="R244" i="1"/>
  <c r="Q244" i="1"/>
  <c r="P244" i="1"/>
  <c r="O244" i="1"/>
  <c r="N244" i="1"/>
  <c r="M244" i="1"/>
  <c r="L244" i="1"/>
  <c r="K244" i="1"/>
  <c r="L216" i="1"/>
  <c r="O218" i="1"/>
  <c r="Q209" i="1"/>
  <c r="Q236" i="1" s="1"/>
  <c r="L208" i="1"/>
  <c r="L235" i="1" s="1"/>
  <c r="P200" i="1"/>
  <c r="K196" i="1"/>
  <c r="R219" i="1"/>
  <c r="Q219" i="1"/>
  <c r="P219" i="1"/>
  <c r="O219" i="1"/>
  <c r="N219" i="1"/>
  <c r="M219" i="1"/>
  <c r="L219" i="1"/>
  <c r="K219" i="1"/>
  <c r="R218" i="1"/>
  <c r="Q218" i="1"/>
  <c r="P218" i="1"/>
  <c r="N218" i="1"/>
  <c r="M218" i="1"/>
  <c r="L218" i="1"/>
  <c r="K218" i="1"/>
  <c r="R217" i="1"/>
  <c r="R226" i="1" s="1"/>
  <c r="Q217" i="1"/>
  <c r="P217" i="1"/>
  <c r="O217" i="1"/>
  <c r="N217" i="1"/>
  <c r="M217" i="1"/>
  <c r="L217" i="1"/>
  <c r="K217" i="1"/>
  <c r="R216" i="1"/>
  <c r="R234" i="1" s="1"/>
  <c r="Q216" i="1"/>
  <c r="P216" i="1"/>
  <c r="O216" i="1"/>
  <c r="N216" i="1"/>
  <c r="M216" i="1"/>
  <c r="K216" i="1"/>
  <c r="R215" i="1"/>
  <c r="R233" i="1" s="1"/>
  <c r="Q215" i="1"/>
  <c r="P215" i="1"/>
  <c r="O215" i="1"/>
  <c r="N215" i="1"/>
  <c r="M215" i="1"/>
  <c r="L215" i="1"/>
  <c r="K215" i="1"/>
  <c r="R214" i="1"/>
  <c r="R232" i="1" s="1"/>
  <c r="Q214" i="1"/>
  <c r="P214" i="1"/>
  <c r="O214" i="1"/>
  <c r="N214" i="1"/>
  <c r="M214" i="1"/>
  <c r="L214" i="1"/>
  <c r="K214" i="1"/>
  <c r="R210" i="1"/>
  <c r="R237" i="1" s="1"/>
  <c r="Q210" i="1"/>
  <c r="P210" i="1"/>
  <c r="P237" i="1" s="1"/>
  <c r="O210" i="1"/>
  <c r="O237" i="1" s="1"/>
  <c r="N210" i="1"/>
  <c r="N237" i="1" s="1"/>
  <c r="M210" i="1"/>
  <c r="M237" i="1" s="1"/>
  <c r="L210" i="1"/>
  <c r="K210" i="1"/>
  <c r="R209" i="1"/>
  <c r="R227" i="1" s="1"/>
  <c r="P209" i="1"/>
  <c r="O209" i="1"/>
  <c r="O236" i="1" s="1"/>
  <c r="N209" i="1"/>
  <c r="N236" i="1" s="1"/>
  <c r="M209" i="1"/>
  <c r="M236" i="1" s="1"/>
  <c r="L209" i="1"/>
  <c r="L236" i="1" s="1"/>
  <c r="K209" i="1"/>
  <c r="R208" i="1"/>
  <c r="Q208" i="1"/>
  <c r="P208" i="1"/>
  <c r="O208" i="1"/>
  <c r="O235" i="1" s="1"/>
  <c r="N208" i="1"/>
  <c r="N235" i="1" s="1"/>
  <c r="M208" i="1"/>
  <c r="M235" i="1" s="1"/>
  <c r="K208" i="1"/>
  <c r="R207" i="1"/>
  <c r="Q207" i="1"/>
  <c r="Q234" i="1" s="1"/>
  <c r="P207" i="1"/>
  <c r="O207" i="1"/>
  <c r="N207" i="1"/>
  <c r="N234" i="1" s="1"/>
  <c r="M207" i="1"/>
  <c r="M234" i="1" s="1"/>
  <c r="L207" i="1"/>
  <c r="L234" i="1" s="1"/>
  <c r="K207" i="1"/>
  <c r="R206" i="1"/>
  <c r="Q206" i="1"/>
  <c r="Q233" i="1" s="1"/>
  <c r="P206" i="1"/>
  <c r="O206" i="1"/>
  <c r="N206" i="1"/>
  <c r="N233" i="1" s="1"/>
  <c r="M206" i="1"/>
  <c r="M233" i="1" s="1"/>
  <c r="L206" i="1"/>
  <c r="L233" i="1" s="1"/>
  <c r="K206" i="1"/>
  <c r="R205" i="1"/>
  <c r="Q205" i="1"/>
  <c r="Q232" i="1" s="1"/>
  <c r="P205" i="1"/>
  <c r="O205" i="1"/>
  <c r="N205" i="1"/>
  <c r="N232" i="1" s="1"/>
  <c r="M205" i="1"/>
  <c r="M232" i="1" s="1"/>
  <c r="L205" i="1"/>
  <c r="L232" i="1" s="1"/>
  <c r="K205" i="1"/>
  <c r="R201" i="1"/>
  <c r="Q201" i="1"/>
  <c r="P201" i="1"/>
  <c r="O201" i="1"/>
  <c r="N201" i="1"/>
  <c r="M201" i="1"/>
  <c r="L201" i="1"/>
  <c r="K201" i="1"/>
  <c r="R200" i="1"/>
  <c r="Q200" i="1"/>
  <c r="O200" i="1"/>
  <c r="N200" i="1"/>
  <c r="M200" i="1"/>
  <c r="L200" i="1"/>
  <c r="K200" i="1"/>
  <c r="R199" i="1"/>
  <c r="Q199" i="1"/>
  <c r="P199" i="1"/>
  <c r="O199" i="1"/>
  <c r="N199" i="1"/>
  <c r="M199" i="1"/>
  <c r="L199" i="1"/>
  <c r="K199" i="1"/>
  <c r="R198" i="1"/>
  <c r="Q198" i="1"/>
  <c r="P198" i="1"/>
  <c r="O198" i="1"/>
  <c r="N198" i="1"/>
  <c r="M198" i="1"/>
  <c r="L198" i="1"/>
  <c r="K198" i="1"/>
  <c r="R197" i="1"/>
  <c r="Q197" i="1"/>
  <c r="P197" i="1"/>
  <c r="O197" i="1"/>
  <c r="N197" i="1"/>
  <c r="M197" i="1"/>
  <c r="L197" i="1"/>
  <c r="K197" i="1"/>
  <c r="R196" i="1"/>
  <c r="Q196" i="1"/>
  <c r="P196" i="1"/>
  <c r="O196" i="1"/>
  <c r="N196" i="1"/>
  <c r="M196" i="1"/>
  <c r="L196" i="1"/>
  <c r="O169" i="1"/>
  <c r="N160" i="1"/>
  <c r="R171" i="1"/>
  <c r="Q171" i="1"/>
  <c r="P171" i="1"/>
  <c r="O171" i="1"/>
  <c r="N171" i="1"/>
  <c r="M171" i="1"/>
  <c r="L171" i="1"/>
  <c r="K171" i="1"/>
  <c r="R170" i="1"/>
  <c r="Q170" i="1"/>
  <c r="P170" i="1"/>
  <c r="O170" i="1"/>
  <c r="N170" i="1"/>
  <c r="M170" i="1"/>
  <c r="L170" i="1"/>
  <c r="K170" i="1"/>
  <c r="R169" i="1"/>
  <c r="Q169" i="1"/>
  <c r="P169" i="1"/>
  <c r="N169" i="1"/>
  <c r="M169" i="1"/>
  <c r="L169" i="1"/>
  <c r="K169" i="1"/>
  <c r="R168" i="1"/>
  <c r="Q168" i="1"/>
  <c r="P168" i="1"/>
  <c r="O168" i="1"/>
  <c r="N168" i="1"/>
  <c r="M168" i="1"/>
  <c r="L168" i="1"/>
  <c r="K168" i="1"/>
  <c r="R167" i="1"/>
  <c r="Q167" i="1"/>
  <c r="P167" i="1"/>
  <c r="O167" i="1"/>
  <c r="N167" i="1"/>
  <c r="M167" i="1"/>
  <c r="L167" i="1"/>
  <c r="K167" i="1"/>
  <c r="R166" i="1"/>
  <c r="Q166" i="1"/>
  <c r="P166" i="1"/>
  <c r="O166" i="1"/>
  <c r="N166" i="1"/>
  <c r="M166" i="1"/>
  <c r="L166" i="1"/>
  <c r="K166" i="1"/>
  <c r="R162" i="1"/>
  <c r="R189" i="1" s="1"/>
  <c r="Q162" i="1"/>
  <c r="Q189" i="1" s="1"/>
  <c r="P162" i="1"/>
  <c r="P189" i="1" s="1"/>
  <c r="O162" i="1"/>
  <c r="N162" i="1"/>
  <c r="M162" i="1"/>
  <c r="M189" i="1" s="1"/>
  <c r="L162" i="1"/>
  <c r="K162" i="1"/>
  <c r="R161" i="1"/>
  <c r="R188" i="1" s="1"/>
  <c r="Q161" i="1"/>
  <c r="Q188" i="1" s="1"/>
  <c r="P161" i="1"/>
  <c r="P179" i="1" s="1"/>
  <c r="O161" i="1"/>
  <c r="N161" i="1"/>
  <c r="M161" i="1"/>
  <c r="M179" i="1" s="1"/>
  <c r="L161" i="1"/>
  <c r="L179" i="1" s="1"/>
  <c r="K161" i="1"/>
  <c r="R160" i="1"/>
  <c r="R187" i="1" s="1"/>
  <c r="Q160" i="1"/>
  <c r="Q178" i="1" s="1"/>
  <c r="P160" i="1"/>
  <c r="P178" i="1" s="1"/>
  <c r="O160" i="1"/>
  <c r="M160" i="1"/>
  <c r="L160" i="1"/>
  <c r="L178" i="1" s="1"/>
  <c r="K160" i="1"/>
  <c r="R159" i="1"/>
  <c r="R186" i="1" s="1"/>
  <c r="Q159" i="1"/>
  <c r="Q177" i="1" s="1"/>
  <c r="P159" i="1"/>
  <c r="P177" i="1" s="1"/>
  <c r="O159" i="1"/>
  <c r="O177" i="1" s="1"/>
  <c r="N159" i="1"/>
  <c r="M159" i="1"/>
  <c r="L159" i="1"/>
  <c r="L177" i="1" s="1"/>
  <c r="K159" i="1"/>
  <c r="R158" i="1"/>
  <c r="R185" i="1" s="1"/>
  <c r="Q158" i="1"/>
  <c r="Q176" i="1" s="1"/>
  <c r="P158" i="1"/>
  <c r="P176" i="1" s="1"/>
  <c r="O158" i="1"/>
  <c r="O176" i="1" s="1"/>
  <c r="N158" i="1"/>
  <c r="M158" i="1"/>
  <c r="L158" i="1"/>
  <c r="L176" i="1" s="1"/>
  <c r="K158" i="1"/>
  <c r="R157" i="1"/>
  <c r="R184" i="1" s="1"/>
  <c r="Q157" i="1"/>
  <c r="Q175" i="1" s="1"/>
  <c r="P157" i="1"/>
  <c r="P175" i="1" s="1"/>
  <c r="O157" i="1"/>
  <c r="O175" i="1" s="1"/>
  <c r="N157" i="1"/>
  <c r="M157" i="1"/>
  <c r="L157" i="1"/>
  <c r="L175" i="1" s="1"/>
  <c r="K157" i="1"/>
  <c r="R153" i="1"/>
  <c r="Q153" i="1"/>
  <c r="P153" i="1"/>
  <c r="O153" i="1"/>
  <c r="N153" i="1"/>
  <c r="M153" i="1"/>
  <c r="L153" i="1"/>
  <c r="K153" i="1"/>
  <c r="R152" i="1"/>
  <c r="Q152" i="1"/>
  <c r="P152" i="1"/>
  <c r="O152" i="1"/>
  <c r="N152" i="1"/>
  <c r="M152" i="1"/>
  <c r="L152" i="1"/>
  <c r="K152" i="1"/>
  <c r="R151" i="1"/>
  <c r="Q151" i="1"/>
  <c r="P151" i="1"/>
  <c r="O151" i="1"/>
  <c r="N151" i="1"/>
  <c r="M151" i="1"/>
  <c r="L151" i="1"/>
  <c r="K151" i="1"/>
  <c r="R150" i="1"/>
  <c r="Q150" i="1"/>
  <c r="P150" i="1"/>
  <c r="O150" i="1"/>
  <c r="N150" i="1"/>
  <c r="M150" i="1"/>
  <c r="L150" i="1"/>
  <c r="K150" i="1"/>
  <c r="R149" i="1"/>
  <c r="Q149" i="1"/>
  <c r="P149" i="1"/>
  <c r="O149" i="1"/>
  <c r="N149" i="1"/>
  <c r="M149" i="1"/>
  <c r="L149" i="1"/>
  <c r="K149" i="1"/>
  <c r="R148" i="1"/>
  <c r="Q148" i="1"/>
  <c r="P148" i="1"/>
  <c r="O148" i="1"/>
  <c r="N148" i="1"/>
  <c r="M148" i="1"/>
  <c r="L148" i="1"/>
  <c r="K148" i="1"/>
  <c r="R121" i="1"/>
  <c r="P118" i="1"/>
  <c r="Q105" i="1"/>
  <c r="K100" i="1"/>
  <c r="R123" i="1"/>
  <c r="R132" i="1" s="1"/>
  <c r="Q123" i="1"/>
  <c r="P123" i="1"/>
  <c r="O123" i="1"/>
  <c r="N123" i="1"/>
  <c r="M123" i="1"/>
  <c r="L123" i="1"/>
  <c r="K123" i="1"/>
  <c r="R122" i="1"/>
  <c r="R131" i="1" s="1"/>
  <c r="Q122" i="1"/>
  <c r="P122" i="1"/>
  <c r="O122" i="1"/>
  <c r="N122" i="1"/>
  <c r="M122" i="1"/>
  <c r="L122" i="1"/>
  <c r="K122" i="1"/>
  <c r="Q121" i="1"/>
  <c r="P121" i="1"/>
  <c r="O121" i="1"/>
  <c r="N121" i="1"/>
  <c r="M121" i="1"/>
  <c r="L121" i="1"/>
  <c r="K121" i="1"/>
  <c r="R120" i="1"/>
  <c r="Q120" i="1"/>
  <c r="P120" i="1"/>
  <c r="O120" i="1"/>
  <c r="N120" i="1"/>
  <c r="M120" i="1"/>
  <c r="L120" i="1"/>
  <c r="K120" i="1"/>
  <c r="R119" i="1"/>
  <c r="Q119" i="1"/>
  <c r="P119" i="1"/>
  <c r="O119" i="1"/>
  <c r="N119" i="1"/>
  <c r="M119" i="1"/>
  <c r="L119" i="1"/>
  <c r="K119" i="1"/>
  <c r="R118" i="1"/>
  <c r="Q118" i="1"/>
  <c r="O118" i="1"/>
  <c r="N118" i="1"/>
  <c r="M118" i="1"/>
  <c r="L118" i="1"/>
  <c r="K118" i="1"/>
  <c r="R114" i="1"/>
  <c r="Q114" i="1"/>
  <c r="Q132" i="1" s="1"/>
  <c r="P114" i="1"/>
  <c r="O114" i="1"/>
  <c r="N114" i="1"/>
  <c r="N132" i="1" s="1"/>
  <c r="M114" i="1"/>
  <c r="M132" i="1" s="1"/>
  <c r="L114" i="1"/>
  <c r="L132" i="1" s="1"/>
  <c r="K114" i="1"/>
  <c r="R113" i="1"/>
  <c r="Q113" i="1"/>
  <c r="Q131" i="1" s="1"/>
  <c r="P113" i="1"/>
  <c r="O113" i="1"/>
  <c r="N113" i="1"/>
  <c r="N131" i="1" s="1"/>
  <c r="M113" i="1"/>
  <c r="M131" i="1" s="1"/>
  <c r="L113" i="1"/>
  <c r="L131" i="1" s="1"/>
  <c r="K113" i="1"/>
  <c r="R112" i="1"/>
  <c r="R139" i="1" s="1"/>
  <c r="Q112" i="1"/>
  <c r="Q130" i="1" s="1"/>
  <c r="P112" i="1"/>
  <c r="O112" i="1"/>
  <c r="N112" i="1"/>
  <c r="N130" i="1" s="1"/>
  <c r="M112" i="1"/>
  <c r="M130" i="1" s="1"/>
  <c r="L112" i="1"/>
  <c r="L130" i="1" s="1"/>
  <c r="K112" i="1"/>
  <c r="R111" i="1"/>
  <c r="R138" i="1" s="1"/>
  <c r="Q111" i="1"/>
  <c r="Q129" i="1" s="1"/>
  <c r="P111" i="1"/>
  <c r="O111" i="1"/>
  <c r="N111" i="1"/>
  <c r="N129" i="1" s="1"/>
  <c r="M111" i="1"/>
  <c r="M129" i="1" s="1"/>
  <c r="L111" i="1"/>
  <c r="L129" i="1" s="1"/>
  <c r="K111" i="1"/>
  <c r="R110" i="1"/>
  <c r="R137" i="1" s="1"/>
  <c r="Q110" i="1"/>
  <c r="Q128" i="1" s="1"/>
  <c r="P110" i="1"/>
  <c r="O110" i="1"/>
  <c r="N110" i="1"/>
  <c r="N128" i="1" s="1"/>
  <c r="M110" i="1"/>
  <c r="M128" i="1" s="1"/>
  <c r="L110" i="1"/>
  <c r="L128" i="1" s="1"/>
  <c r="K110" i="1"/>
  <c r="R109" i="1"/>
  <c r="R136" i="1" s="1"/>
  <c r="Q109" i="1"/>
  <c r="Q127" i="1" s="1"/>
  <c r="P109" i="1"/>
  <c r="O109" i="1"/>
  <c r="N109" i="1"/>
  <c r="N127" i="1" s="1"/>
  <c r="M109" i="1"/>
  <c r="M127" i="1" s="1"/>
  <c r="L109" i="1"/>
  <c r="L127" i="1" s="1"/>
  <c r="K109" i="1"/>
  <c r="R105" i="1"/>
  <c r="P105" i="1"/>
  <c r="O105" i="1"/>
  <c r="N105" i="1"/>
  <c r="M105" i="1"/>
  <c r="L105" i="1"/>
  <c r="K105" i="1"/>
  <c r="R104" i="1"/>
  <c r="Q104" i="1"/>
  <c r="P104" i="1"/>
  <c r="O104" i="1"/>
  <c r="N104" i="1"/>
  <c r="M104" i="1"/>
  <c r="L104" i="1"/>
  <c r="K104" i="1"/>
  <c r="R103" i="1"/>
  <c r="Q103" i="1"/>
  <c r="P103" i="1"/>
  <c r="O103" i="1"/>
  <c r="N103" i="1"/>
  <c r="M103" i="1"/>
  <c r="L103" i="1"/>
  <c r="K103" i="1"/>
  <c r="R102" i="1"/>
  <c r="Q102" i="1"/>
  <c r="P102" i="1"/>
  <c r="O102" i="1"/>
  <c r="N102" i="1"/>
  <c r="M102" i="1"/>
  <c r="L102" i="1"/>
  <c r="K102" i="1"/>
  <c r="R101" i="1"/>
  <c r="Q101" i="1"/>
  <c r="P101" i="1"/>
  <c r="O101" i="1"/>
  <c r="N101" i="1"/>
  <c r="M101" i="1"/>
  <c r="L101" i="1"/>
  <c r="K101" i="1"/>
  <c r="R100" i="1"/>
  <c r="Q100" i="1"/>
  <c r="P100" i="1"/>
  <c r="O100" i="1"/>
  <c r="N100" i="1"/>
  <c r="M100" i="1"/>
  <c r="L100" i="1"/>
  <c r="M75" i="1"/>
  <c r="M74" i="1"/>
  <c r="M73" i="1"/>
  <c r="M72" i="1"/>
  <c r="M71" i="1"/>
  <c r="M70" i="1"/>
  <c r="M66" i="1"/>
  <c r="M93" i="1" s="1"/>
  <c r="M64" i="1"/>
  <c r="M91" i="1" s="1"/>
  <c r="M61" i="1"/>
  <c r="M88" i="1" s="1"/>
  <c r="M57" i="1"/>
  <c r="M56" i="1"/>
  <c r="M55" i="1"/>
  <c r="M54" i="1"/>
  <c r="M53" i="1"/>
  <c r="M52" i="1"/>
  <c r="K57" i="1"/>
  <c r="K56" i="1"/>
  <c r="K55" i="1"/>
  <c r="K54" i="1"/>
  <c r="K53" i="1"/>
  <c r="K52" i="1"/>
  <c r="R75" i="1"/>
  <c r="R93" i="1" s="1"/>
  <c r="Q75" i="1"/>
  <c r="P75" i="1"/>
  <c r="O75" i="1"/>
  <c r="N75" i="1"/>
  <c r="L75" i="1"/>
  <c r="K75" i="1"/>
  <c r="R74" i="1"/>
  <c r="R92" i="1" s="1"/>
  <c r="Q74" i="1"/>
  <c r="P74" i="1"/>
  <c r="O74" i="1"/>
  <c r="N74" i="1"/>
  <c r="L74" i="1"/>
  <c r="K74" i="1"/>
  <c r="R73" i="1"/>
  <c r="Q73" i="1"/>
  <c r="P73" i="1"/>
  <c r="O73" i="1"/>
  <c r="N73" i="1"/>
  <c r="L73" i="1"/>
  <c r="K73" i="1"/>
  <c r="R72" i="1"/>
  <c r="Q72" i="1"/>
  <c r="P72" i="1"/>
  <c r="O72" i="1"/>
  <c r="N72" i="1"/>
  <c r="L72" i="1"/>
  <c r="K72" i="1"/>
  <c r="R71" i="1"/>
  <c r="Q71" i="1"/>
  <c r="P71" i="1"/>
  <c r="O71" i="1"/>
  <c r="N71" i="1"/>
  <c r="L71" i="1"/>
  <c r="K71" i="1"/>
  <c r="R70" i="1"/>
  <c r="Q70" i="1"/>
  <c r="P70" i="1"/>
  <c r="O70" i="1"/>
  <c r="N70" i="1"/>
  <c r="L70" i="1"/>
  <c r="K70" i="1"/>
  <c r="R66" i="1"/>
  <c r="Q66" i="1"/>
  <c r="Q93" i="1" s="1"/>
  <c r="P66" i="1"/>
  <c r="P93" i="1" s="1"/>
  <c r="O66" i="1"/>
  <c r="O93" i="1" s="1"/>
  <c r="N66" i="1"/>
  <c r="N93" i="1" s="1"/>
  <c r="L66" i="1"/>
  <c r="K66" i="1"/>
  <c r="R65" i="1"/>
  <c r="Q65" i="1"/>
  <c r="P65" i="1"/>
  <c r="P92" i="1" s="1"/>
  <c r="O65" i="1"/>
  <c r="O92" i="1" s="1"/>
  <c r="N65" i="1"/>
  <c r="N92" i="1" s="1"/>
  <c r="M65" i="1"/>
  <c r="M92" i="1" s="1"/>
  <c r="L65" i="1"/>
  <c r="K65" i="1"/>
  <c r="R64" i="1"/>
  <c r="Q64" i="1"/>
  <c r="P64" i="1"/>
  <c r="P91" i="1" s="1"/>
  <c r="O64" i="1"/>
  <c r="O91" i="1" s="1"/>
  <c r="N64" i="1"/>
  <c r="N91" i="1" s="1"/>
  <c r="L64" i="1"/>
  <c r="L91" i="1" s="1"/>
  <c r="K64" i="1"/>
  <c r="R63" i="1"/>
  <c r="R81" i="1" s="1"/>
  <c r="Q63" i="1"/>
  <c r="Q90" i="1" s="1"/>
  <c r="P63" i="1"/>
  <c r="O63" i="1"/>
  <c r="O90" i="1" s="1"/>
  <c r="N63" i="1"/>
  <c r="N90" i="1" s="1"/>
  <c r="M63" i="1"/>
  <c r="M90" i="1" s="1"/>
  <c r="L63" i="1"/>
  <c r="L90" i="1" s="1"/>
  <c r="K63" i="1"/>
  <c r="R62" i="1"/>
  <c r="R80" i="1" s="1"/>
  <c r="Q62" i="1"/>
  <c r="Q89" i="1" s="1"/>
  <c r="P62" i="1"/>
  <c r="P89" i="1" s="1"/>
  <c r="O62" i="1"/>
  <c r="N62" i="1"/>
  <c r="M62" i="1"/>
  <c r="L62" i="1"/>
  <c r="L89" i="1" s="1"/>
  <c r="K62" i="1"/>
  <c r="R61" i="1"/>
  <c r="R79" i="1" s="1"/>
  <c r="Q61" i="1"/>
  <c r="Q88" i="1" s="1"/>
  <c r="P61" i="1"/>
  <c r="P88" i="1" s="1"/>
  <c r="O61" i="1"/>
  <c r="O88" i="1" s="1"/>
  <c r="N61" i="1"/>
  <c r="L61" i="1"/>
  <c r="K61" i="1"/>
  <c r="R57" i="1"/>
  <c r="Q57" i="1"/>
  <c r="P57" i="1"/>
  <c r="O57" i="1"/>
  <c r="N57" i="1"/>
  <c r="L57" i="1"/>
  <c r="R56" i="1"/>
  <c r="Q56" i="1"/>
  <c r="P56" i="1"/>
  <c r="O56" i="1"/>
  <c r="N56" i="1"/>
  <c r="L56" i="1"/>
  <c r="R55" i="1"/>
  <c r="Q55" i="1"/>
  <c r="P55" i="1"/>
  <c r="O55" i="1"/>
  <c r="N55" i="1"/>
  <c r="L55" i="1"/>
  <c r="R54" i="1"/>
  <c r="Q54" i="1"/>
  <c r="P54" i="1"/>
  <c r="O54" i="1"/>
  <c r="N54" i="1"/>
  <c r="L54" i="1"/>
  <c r="R53" i="1"/>
  <c r="Q53" i="1"/>
  <c r="P53" i="1"/>
  <c r="O53" i="1"/>
  <c r="N53" i="1"/>
  <c r="L53" i="1"/>
  <c r="R52" i="1"/>
  <c r="Q52" i="1"/>
  <c r="P52" i="1"/>
  <c r="O52" i="1"/>
  <c r="N52" i="1"/>
  <c r="L52" i="1"/>
  <c r="R27" i="1"/>
  <c r="R26" i="1"/>
  <c r="R25" i="1"/>
  <c r="R24" i="1"/>
  <c r="R23" i="1"/>
  <c r="R22" i="1"/>
  <c r="Q27" i="1"/>
  <c r="Q26" i="1"/>
  <c r="Q25" i="1"/>
  <c r="Q24" i="1"/>
  <c r="Q23" i="1"/>
  <c r="Q22" i="1"/>
  <c r="P27" i="1"/>
  <c r="P26" i="1"/>
  <c r="P25" i="1"/>
  <c r="P24" i="1"/>
  <c r="P23" i="1"/>
  <c r="P22" i="1"/>
  <c r="O27" i="1"/>
  <c r="O26" i="1"/>
  <c r="O25" i="1"/>
  <c r="O24" i="1"/>
  <c r="O23" i="1"/>
  <c r="O22" i="1"/>
  <c r="N27" i="1"/>
  <c r="N26" i="1"/>
  <c r="N25" i="1"/>
  <c r="N24" i="1"/>
  <c r="N23" i="1"/>
  <c r="N22" i="1"/>
  <c r="M27" i="1"/>
  <c r="M26" i="1"/>
  <c r="M25" i="1"/>
  <c r="M24" i="1"/>
  <c r="M23" i="1"/>
  <c r="M22" i="1"/>
  <c r="L27" i="1"/>
  <c r="L45" i="1" s="1"/>
  <c r="L26" i="1"/>
  <c r="L44" i="1" s="1"/>
  <c r="L25" i="1"/>
  <c r="L24" i="1"/>
  <c r="L23" i="1"/>
  <c r="L22" i="1"/>
  <c r="K27" i="1"/>
  <c r="K26" i="1"/>
  <c r="K25" i="1"/>
  <c r="K24" i="1"/>
  <c r="K23" i="1"/>
  <c r="K22" i="1"/>
  <c r="R18" i="1"/>
  <c r="R45" i="1" s="1"/>
  <c r="R17" i="1"/>
  <c r="R44" i="1" s="1"/>
  <c r="R16" i="1"/>
  <c r="R43" i="1" s="1"/>
  <c r="R15" i="1"/>
  <c r="R42" i="1" s="1"/>
  <c r="R14" i="1"/>
  <c r="R13" i="1"/>
  <c r="Q18" i="1"/>
  <c r="Q45" i="1" s="1"/>
  <c r="Q17" i="1"/>
  <c r="Q44" i="1" s="1"/>
  <c r="Q16" i="1"/>
  <c r="Q43" i="1" s="1"/>
  <c r="Q15" i="1"/>
  <c r="Q42" i="1" s="1"/>
  <c r="Q14" i="1"/>
  <c r="Q41" i="1" s="1"/>
  <c r="Q13" i="1"/>
  <c r="Q40" i="1" s="1"/>
  <c r="P13" i="1"/>
  <c r="P14" i="1"/>
  <c r="P15" i="1"/>
  <c r="P42" i="1" s="1"/>
  <c r="P16" i="1"/>
  <c r="P43" i="1" s="1"/>
  <c r="P17" i="1"/>
  <c r="P44" i="1" s="1"/>
  <c r="P18" i="1"/>
  <c r="O14" i="1"/>
  <c r="O41" i="1" s="1"/>
  <c r="O15" i="1"/>
  <c r="O42" i="1" s="1"/>
  <c r="O16" i="1"/>
  <c r="O17" i="1"/>
  <c r="O18" i="1"/>
  <c r="O45" i="1" s="1"/>
  <c r="O13" i="1"/>
  <c r="O40" i="1" s="1"/>
  <c r="N18" i="1"/>
  <c r="N45" i="1" s="1"/>
  <c r="N17" i="1"/>
  <c r="N44" i="1" s="1"/>
  <c r="N16" i="1"/>
  <c r="N43" i="1" s="1"/>
  <c r="N15" i="1"/>
  <c r="N42" i="1" s="1"/>
  <c r="N14" i="1"/>
  <c r="N13" i="1"/>
  <c r="M18" i="1"/>
  <c r="M45" i="1" s="1"/>
  <c r="M17" i="1"/>
  <c r="M44" i="1" s="1"/>
  <c r="M16" i="1"/>
  <c r="M43" i="1" s="1"/>
  <c r="M15" i="1"/>
  <c r="M42" i="1" s="1"/>
  <c r="M14" i="1"/>
  <c r="M41" i="1" s="1"/>
  <c r="M13" i="1"/>
  <c r="L14" i="1"/>
  <c r="L41" i="1" s="1"/>
  <c r="L15" i="1"/>
  <c r="L33" i="1" s="1"/>
  <c r="L16" i="1"/>
  <c r="L17" i="1"/>
  <c r="L18" i="1"/>
  <c r="L13" i="1"/>
  <c r="K14" i="1"/>
  <c r="K15" i="1"/>
  <c r="K16" i="1"/>
  <c r="K17" i="1"/>
  <c r="K44" i="1" s="1"/>
  <c r="K18" i="1"/>
  <c r="K13" i="1"/>
  <c r="K40" i="1" s="1"/>
  <c r="R9" i="1"/>
  <c r="Q9" i="1"/>
  <c r="P9" i="1"/>
  <c r="O9" i="1"/>
  <c r="N9" i="1"/>
  <c r="M9" i="1"/>
  <c r="L9" i="1"/>
  <c r="K9" i="1"/>
  <c r="R8" i="1"/>
  <c r="Q8" i="1"/>
  <c r="P8" i="1"/>
  <c r="O8" i="1"/>
  <c r="N8" i="1"/>
  <c r="M8" i="1"/>
  <c r="L8" i="1"/>
  <c r="K8" i="1"/>
  <c r="R7" i="1"/>
  <c r="Q7" i="1"/>
  <c r="P7" i="1"/>
  <c r="O7" i="1"/>
  <c r="N7" i="1"/>
  <c r="M7" i="1"/>
  <c r="L7" i="1"/>
  <c r="K7" i="1"/>
  <c r="R6" i="1"/>
  <c r="Q6" i="1"/>
  <c r="P6" i="1"/>
  <c r="O6" i="1"/>
  <c r="N6" i="1"/>
  <c r="M6" i="1"/>
  <c r="L6" i="1"/>
  <c r="R5" i="1"/>
  <c r="Q5" i="1"/>
  <c r="P5" i="1"/>
  <c r="O5" i="1"/>
  <c r="N5" i="1"/>
  <c r="M5" i="1"/>
  <c r="L5" i="1"/>
  <c r="R4" i="1"/>
  <c r="Q4" i="1"/>
  <c r="P4" i="1"/>
  <c r="O4" i="1"/>
  <c r="N4" i="1"/>
  <c r="M4" i="1"/>
  <c r="L4" i="1"/>
  <c r="S303" i="1" l="1"/>
  <c r="S295" i="1"/>
  <c r="T306" i="1"/>
  <c r="T298" i="1"/>
  <c r="T297" i="1"/>
  <c r="S297" i="1"/>
  <c r="T305" i="1"/>
  <c r="K43" i="1"/>
  <c r="K34" i="1"/>
  <c r="N41" i="1"/>
  <c r="N32" i="1"/>
  <c r="O43" i="1"/>
  <c r="O34" i="1"/>
  <c r="P40" i="1"/>
  <c r="P31" i="1"/>
  <c r="R41" i="1"/>
  <c r="R32" i="1"/>
  <c r="K80" i="1"/>
  <c r="K89" i="1"/>
  <c r="K90" i="1"/>
  <c r="K81" i="1"/>
  <c r="K82" i="1"/>
  <c r="K91" i="1"/>
  <c r="L92" i="1"/>
  <c r="L83" i="1"/>
  <c r="L93" i="1"/>
  <c r="L84" i="1"/>
  <c r="P127" i="1"/>
  <c r="P136" i="1"/>
  <c r="P128" i="1"/>
  <c r="P137" i="1"/>
  <c r="P129" i="1"/>
  <c r="P138" i="1"/>
  <c r="P130" i="1"/>
  <c r="P139" i="1"/>
  <c r="P131" i="1"/>
  <c r="P140" i="1"/>
  <c r="P132" i="1"/>
  <c r="P141" i="1"/>
  <c r="N175" i="1"/>
  <c r="N184" i="1"/>
  <c r="N176" i="1"/>
  <c r="N185" i="1"/>
  <c r="N177" i="1"/>
  <c r="N186" i="1"/>
  <c r="O178" i="1"/>
  <c r="O187" i="1"/>
  <c r="O179" i="1"/>
  <c r="O188" i="1"/>
  <c r="O189" i="1"/>
  <c r="O180" i="1"/>
  <c r="P232" i="1"/>
  <c r="P223" i="1"/>
  <c r="P233" i="1"/>
  <c r="P224" i="1"/>
  <c r="P234" i="1"/>
  <c r="P225" i="1"/>
  <c r="Q235" i="1"/>
  <c r="Q226" i="1"/>
  <c r="K235" i="1"/>
  <c r="K226" i="1"/>
  <c r="K236" i="1"/>
  <c r="K227" i="1"/>
  <c r="Q280" i="1"/>
  <c r="Q271" i="1"/>
  <c r="Q281" i="1"/>
  <c r="Q272" i="1"/>
  <c r="M285" i="1"/>
  <c r="M276" i="1"/>
  <c r="Q284" i="1"/>
  <c r="Q275" i="1"/>
  <c r="S304" i="1"/>
  <c r="T304" i="1"/>
  <c r="S296" i="1"/>
  <c r="T296" i="1"/>
  <c r="R83" i="1"/>
  <c r="R273" i="1"/>
  <c r="L88" i="1"/>
  <c r="M89" i="1"/>
  <c r="R140" i="1"/>
  <c r="R141" i="1"/>
  <c r="L237" i="1"/>
  <c r="R223" i="1"/>
  <c r="P45" i="1"/>
  <c r="N88" i="1"/>
  <c r="N89" i="1"/>
  <c r="N178" i="1"/>
  <c r="P285" i="1"/>
  <c r="L36" i="1"/>
  <c r="R88" i="1"/>
  <c r="K276" i="1"/>
  <c r="O89" i="1"/>
  <c r="M280" i="1"/>
  <c r="M281" i="1"/>
  <c r="N273" i="1"/>
  <c r="O275" i="1"/>
  <c r="R89" i="1"/>
  <c r="R224" i="1"/>
  <c r="P90" i="1"/>
  <c r="Q91" i="1"/>
  <c r="Q92" i="1"/>
  <c r="L35" i="1"/>
  <c r="R90" i="1"/>
  <c r="K284" i="1"/>
  <c r="K35" i="1"/>
  <c r="R225" i="1"/>
  <c r="N40" i="1"/>
  <c r="N31" i="1"/>
  <c r="O44" i="1"/>
  <c r="O35" i="1"/>
  <c r="P41" i="1"/>
  <c r="P32" i="1"/>
  <c r="R40" i="1"/>
  <c r="R31" i="1"/>
  <c r="K33" i="1"/>
  <c r="K42" i="1"/>
  <c r="K83" i="1"/>
  <c r="K92" i="1"/>
  <c r="K93" i="1"/>
  <c r="K84" i="1"/>
  <c r="O127" i="1"/>
  <c r="O136" i="1"/>
  <c r="O128" i="1"/>
  <c r="O137" i="1"/>
  <c r="O129" i="1"/>
  <c r="O138" i="1"/>
  <c r="O130" i="1"/>
  <c r="O139" i="1"/>
  <c r="O131" i="1"/>
  <c r="O140" i="1"/>
  <c r="O132" i="1"/>
  <c r="O141" i="1"/>
  <c r="M175" i="1"/>
  <c r="M184" i="1"/>
  <c r="M176" i="1"/>
  <c r="M185" i="1"/>
  <c r="M177" i="1"/>
  <c r="M186" i="1"/>
  <c r="M178" i="1"/>
  <c r="M187" i="1"/>
  <c r="N179" i="1"/>
  <c r="N188" i="1"/>
  <c r="N189" i="1"/>
  <c r="N180" i="1"/>
  <c r="O232" i="1"/>
  <c r="O223" i="1"/>
  <c r="O233" i="1"/>
  <c r="O224" i="1"/>
  <c r="O234" i="1"/>
  <c r="O225" i="1"/>
  <c r="P235" i="1"/>
  <c r="P226" i="1"/>
  <c r="P236" i="1"/>
  <c r="P227" i="1"/>
  <c r="Q237" i="1"/>
  <c r="Q228" i="1"/>
  <c r="K228" i="1"/>
  <c r="K237" i="1"/>
  <c r="P280" i="1"/>
  <c r="P271" i="1"/>
  <c r="P281" i="1"/>
  <c r="P272" i="1"/>
  <c r="Q273" i="1"/>
  <c r="Q282" i="1"/>
  <c r="O274" i="1"/>
  <c r="O283" i="1"/>
  <c r="T307" i="1"/>
  <c r="S307" i="1"/>
  <c r="T299" i="1"/>
  <c r="S299" i="1"/>
  <c r="T291" i="1"/>
  <c r="S291" i="1"/>
  <c r="K31" i="1"/>
  <c r="R36" i="1"/>
  <c r="R35" i="1"/>
  <c r="R34" i="1"/>
  <c r="R33" i="1"/>
  <c r="L79" i="1"/>
  <c r="L80" i="1"/>
  <c r="L81" i="1"/>
  <c r="L82" i="1"/>
  <c r="M136" i="1"/>
  <c r="M137" i="1"/>
  <c r="M138" i="1"/>
  <c r="M139" i="1"/>
  <c r="M140" i="1"/>
  <c r="M141" i="1"/>
  <c r="M180" i="1"/>
  <c r="M188" i="1"/>
  <c r="L223" i="1"/>
  <c r="L224" i="1"/>
  <c r="L225" i="1"/>
  <c r="L226" i="1"/>
  <c r="L227" i="1"/>
  <c r="L228" i="1"/>
  <c r="L271" i="1"/>
  <c r="L272" i="1"/>
  <c r="L273" i="1"/>
  <c r="M283" i="1"/>
  <c r="M284" i="1"/>
  <c r="S290" i="1"/>
  <c r="S301" i="1"/>
  <c r="S293" i="1"/>
  <c r="Q36" i="1"/>
  <c r="Q35" i="1"/>
  <c r="Q34" i="1"/>
  <c r="Q33" i="1"/>
  <c r="Q32" i="1"/>
  <c r="M79" i="1"/>
  <c r="M80" i="1"/>
  <c r="M81" i="1"/>
  <c r="M82" i="1"/>
  <c r="M83" i="1"/>
  <c r="M84" i="1"/>
  <c r="N136" i="1"/>
  <c r="N137" i="1"/>
  <c r="N138" i="1"/>
  <c r="N139" i="1"/>
  <c r="N140" i="1"/>
  <c r="N141" i="1"/>
  <c r="N187" i="1"/>
  <c r="M223" i="1"/>
  <c r="M224" i="1"/>
  <c r="M225" i="1"/>
  <c r="M226" i="1"/>
  <c r="M227" i="1"/>
  <c r="M228" i="1"/>
  <c r="M271" i="1"/>
  <c r="M272" i="1"/>
  <c r="N276" i="1"/>
  <c r="N282" i="1"/>
  <c r="N283" i="1"/>
  <c r="N284" i="1"/>
  <c r="S308" i="1"/>
  <c r="S300" i="1"/>
  <c r="S292" i="1"/>
  <c r="Q31" i="1"/>
  <c r="P36" i="1"/>
  <c r="P35" i="1"/>
  <c r="P34" i="1"/>
  <c r="P33" i="1"/>
  <c r="N79" i="1"/>
  <c r="N80" i="1"/>
  <c r="N81" i="1"/>
  <c r="N82" i="1"/>
  <c r="N83" i="1"/>
  <c r="N84" i="1"/>
  <c r="O184" i="1"/>
  <c r="O185" i="1"/>
  <c r="O186" i="1"/>
  <c r="N223" i="1"/>
  <c r="N224" i="1"/>
  <c r="N225" i="1"/>
  <c r="N226" i="1"/>
  <c r="N227" i="1"/>
  <c r="N228" i="1"/>
  <c r="N271" i="1"/>
  <c r="N272" i="1"/>
  <c r="O276" i="1"/>
  <c r="O282" i="1"/>
  <c r="O284" i="1"/>
  <c r="O36" i="1"/>
  <c r="O33" i="1"/>
  <c r="O32" i="1"/>
  <c r="O79" i="1"/>
  <c r="O80" i="1"/>
  <c r="O81" i="1"/>
  <c r="O82" i="1"/>
  <c r="O83" i="1"/>
  <c r="O84" i="1"/>
  <c r="P180" i="1"/>
  <c r="P184" i="1"/>
  <c r="P185" i="1"/>
  <c r="P186" i="1"/>
  <c r="P187" i="1"/>
  <c r="P188" i="1"/>
  <c r="O226" i="1"/>
  <c r="O227" i="1"/>
  <c r="O228" i="1"/>
  <c r="O271" i="1"/>
  <c r="O272" i="1"/>
  <c r="P276" i="1"/>
  <c r="P282" i="1"/>
  <c r="P283" i="1"/>
  <c r="S306" i="1"/>
  <c r="S298" i="1"/>
  <c r="O31" i="1"/>
  <c r="N36" i="1"/>
  <c r="N35" i="1"/>
  <c r="N34" i="1"/>
  <c r="N33" i="1"/>
  <c r="P79" i="1"/>
  <c r="P80" i="1"/>
  <c r="P81" i="1"/>
  <c r="P82" i="1"/>
  <c r="P83" i="1"/>
  <c r="P84" i="1"/>
  <c r="Q136" i="1"/>
  <c r="Q137" i="1"/>
  <c r="Q138" i="1"/>
  <c r="Q139" i="1"/>
  <c r="Q140" i="1"/>
  <c r="Q141" i="1"/>
  <c r="Q180" i="1"/>
  <c r="Q184" i="1"/>
  <c r="Q185" i="1"/>
  <c r="Q186" i="1"/>
  <c r="Q187" i="1"/>
  <c r="P228" i="1"/>
  <c r="Q276" i="1"/>
  <c r="Q283" i="1"/>
  <c r="M36" i="1"/>
  <c r="M35" i="1"/>
  <c r="M34" i="1"/>
  <c r="M33" i="1"/>
  <c r="M32" i="1"/>
  <c r="Q79" i="1"/>
  <c r="Q80" i="1"/>
  <c r="Q81" i="1"/>
  <c r="Q82" i="1"/>
  <c r="Q83" i="1"/>
  <c r="Q84" i="1"/>
  <c r="R179" i="1"/>
  <c r="R180" i="1"/>
  <c r="Q223" i="1"/>
  <c r="Q224" i="1"/>
  <c r="Q225" i="1"/>
  <c r="Q227" i="1"/>
  <c r="R275" i="1"/>
  <c r="R276" i="1"/>
</calcChain>
</file>

<file path=xl/sharedStrings.xml><?xml version="1.0" encoding="utf-8"?>
<sst xmlns="http://schemas.openxmlformats.org/spreadsheetml/2006/main" count="698" uniqueCount="39">
  <si>
    <t>AeroModel</t>
  </si>
  <si>
    <t>UUTFRh</t>
  </si>
  <si>
    <t>UUTRRh</t>
  </si>
  <si>
    <t>UUTRoll</t>
  </si>
  <si>
    <t>UUTYaw</t>
  </si>
  <si>
    <t>ReplayVOL_AeroModel_E9099_17_Config.dat</t>
  </si>
  <si>
    <t>Cx</t>
  </si>
  <si>
    <t>Czf</t>
  </si>
  <si>
    <t>Czr</t>
  </si>
  <si>
    <t>CX</t>
  </si>
  <si>
    <t>Rear RH</t>
  </si>
  <si>
    <t>Front RH</t>
  </si>
  <si>
    <t>CZ Front</t>
  </si>
  <si>
    <t>CZ Rear</t>
  </si>
  <si>
    <t>0deg Roll</t>
  </si>
  <si>
    <t>3deg Yaw</t>
  </si>
  <si>
    <t>-0.8deg Roll</t>
  </si>
  <si>
    <t>-1.6deg Roll</t>
  </si>
  <si>
    <t>6deg Yaw</t>
  </si>
  <si>
    <t>1.6deg Roll</t>
  </si>
  <si>
    <t>-6deg Yaw</t>
  </si>
  <si>
    <t>FRH</t>
  </si>
  <si>
    <t>RRH</t>
  </si>
  <si>
    <t>FRH[mm]</t>
  </si>
  <si>
    <t>RRH[mm]</t>
  </si>
  <si>
    <t>Roll[deg]</t>
  </si>
  <si>
    <t>Yaw[deg]</t>
  </si>
  <si>
    <t>Cz Front</t>
  </si>
  <si>
    <t>Cz Rear</t>
  </si>
  <si>
    <t>Cz Tot</t>
  </si>
  <si>
    <t>AB</t>
  </si>
  <si>
    <t>0deg Yaw</t>
  </si>
  <si>
    <t>Only values copies (Cz Positive)</t>
  </si>
  <si>
    <t>Symmetr.</t>
  </si>
  <si>
    <t>(-1.6/6)-(1.6/-6)</t>
  </si>
  <si>
    <t>LeftTurn</t>
  </si>
  <si>
    <t>RightTurn</t>
  </si>
  <si>
    <t>0 deg Roll</t>
  </si>
  <si>
    <t>3 deg 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</si>
</sst>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0" fontId="3" fillId="3" borderId="1" xfId="0" applyFont="1" applyFill="1" applyBorder="1"/>
    <xf numFmtId="0" fontId="3" fillId="0" borderId="2" xfId="0" applyFont="1" applyBorder="1"/>
    <xf numFmtId="0" fontId="4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5" fillId="0" borderId="0" xfId="0" applyNumberFormat="1" applyFont="1"/>
    <xf numFmtId="164" fontId="5" fillId="0" borderId="9" xfId="0" applyNumberFormat="1" applyFont="1" applyBorder="1"/>
    <xf numFmtId="0" fontId="3" fillId="0" borderId="10" xfId="0" applyFont="1" applyBorder="1"/>
    <xf numFmtId="164" fontId="5" fillId="0" borderId="11" xfId="0" applyNumberFormat="1" applyFont="1" applyBorder="1"/>
    <xf numFmtId="164" fontId="5" fillId="0" borderId="12" xfId="0" applyNumberFormat="1" applyFont="1" applyBorder="1"/>
    <xf numFmtId="0" fontId="0" fillId="4" borderId="0" xfId="0" applyFill="1"/>
    <xf numFmtId="0" fontId="0" fillId="5" borderId="0" xfId="0" applyFill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0" xfId="0" applyFill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2" fillId="8" borderId="0" xfId="0" applyFont="1" applyFill="1"/>
    <xf numFmtId="0" fontId="2" fillId="8" borderId="0" xfId="0" quotePrefix="1" applyFont="1" applyFill="1"/>
    <xf numFmtId="0" fontId="0" fillId="4" borderId="0" xfId="0" quotePrefix="1" applyFill="1"/>
    <xf numFmtId="164" fontId="5" fillId="0" borderId="0" xfId="0" applyNumberFormat="1" applyFont="1" applyBorder="1"/>
    <xf numFmtId="0" fontId="6" fillId="8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6" fillId="8" borderId="0" xfId="0" quotePrefix="1" applyFont="1" applyFill="1" applyAlignment="1">
      <alignment horizontal="center" vertical="center"/>
    </xf>
    <xf numFmtId="0" fontId="7" fillId="4" borderId="0" xfId="0" quotePrefix="1" applyFont="1" applyFill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Border="1"/>
    <xf numFmtId="0" fontId="0" fillId="0" borderId="21" xfId="0" applyBorder="1"/>
    <xf numFmtId="0" fontId="0" fillId="0" borderId="22" xfId="0" applyBorder="1"/>
    <xf numFmtId="0" fontId="0" fillId="0" borderId="6" xfId="0" applyBorder="1"/>
    <xf numFmtId="0" fontId="0" fillId="0" borderId="23" xfId="0" applyBorder="1"/>
    <xf numFmtId="0" fontId="1" fillId="9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0" xfId="0" applyNumberFormat="1" applyBorder="1"/>
    <xf numFmtId="164" fontId="0" fillId="0" borderId="21" xfId="0" applyNumberFormat="1" applyFill="1" applyBorder="1" applyAlignment="1">
      <alignment horizontal="center"/>
    </xf>
    <xf numFmtId="164" fontId="0" fillId="0" borderId="6" xfId="0" applyNumberFormat="1" applyBorder="1"/>
    <xf numFmtId="164" fontId="0" fillId="0" borderId="23" xfId="0" applyNumberFormat="1" applyFill="1" applyBorder="1" applyAlignment="1">
      <alignment horizontal="center"/>
    </xf>
    <xf numFmtId="0" fontId="3" fillId="0" borderId="0" xfId="0" applyFont="1" applyBorder="1"/>
    <xf numFmtId="0" fontId="7" fillId="0" borderId="0" xfId="0" applyFont="1" applyFill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0" fontId="1" fillId="10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1" fillId="16" borderId="0" xfId="0" applyFont="1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quotePrefix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ECFF"/>
      <color rgb="FFFFFF66"/>
      <color rgb="FFFF3300"/>
      <color rgb="FF00FF00"/>
      <color rgb="FF0099FF"/>
      <color rgb="FFFF9966"/>
      <color rgb="FFFF00FF"/>
      <color rgb="FFFFFF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FRH=50/RRH=50  Roll = -1.6deg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Cx (Yaw)</c:v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VolumetricModelExport!$O$290:$O$308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VolumetricModelExport!$P$290:$P$308</c:f>
              <c:numCache>
                <c:formatCode>0.000</c:formatCode>
                <c:ptCount val="19"/>
                <c:pt idx="0">
                  <c:v>1.0559610313539964</c:v>
                </c:pt>
                <c:pt idx="1">
                  <c:v>1.0609452715431253</c:v>
                </c:pt>
                <c:pt idx="2">
                  <c:v>1.0651913296753455</c:v>
                </c:pt>
                <c:pt idx="3">
                  <c:v>1.0686254405756161</c:v>
                </c:pt>
                <c:pt idx="4">
                  <c:v>1.071223891005963</c:v>
                </c:pt>
                <c:pt idx="5">
                  <c:v>1.0730089684786286</c:v>
                </c:pt>
                <c:pt idx="6">
                  <c:v>1.0740409532976272</c:v>
                </c:pt>
                <c:pt idx="7">
                  <c:v>1.074407231109199</c:v>
                </c:pt>
                <c:pt idx="8">
                  <c:v>1.0742099117515527</c:v>
                </c:pt>
                <c:pt idx="9">
                  <c:v>1.0735534669134998</c:v>
                </c:pt>
                <c:pt idx="10">
                  <c:v>1.0725338285689956</c:v>
                </c:pt>
                <c:pt idx="11">
                  <c:v>1.0712301352253257</c:v>
                </c:pt>
                <c:pt idx="12">
                  <c:v>1.0696999128411109</c:v>
                </c:pt>
                <c:pt idx="13">
                  <c:v>1.0679779910014866</c:v>
                </c:pt>
                <c:pt idx="14">
                  <c:v>1.0660789524573682</c:v>
                </c:pt>
                <c:pt idx="15">
                  <c:v>1.0640024652197275</c:v>
                </c:pt>
                <c:pt idx="16">
                  <c:v>1.0617405102405777</c:v>
                </c:pt>
                <c:pt idx="17">
                  <c:v>1.0592853344892439</c:v>
                </c:pt>
                <c:pt idx="18">
                  <c:v>1.0566369450223678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5E-4DBE-B8F1-AF1BE2A2A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9904"/>
        <c:axId val="14101152"/>
      </c:scatterChart>
      <c:valAx>
        <c:axId val="140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Yaw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01152"/>
        <c:crosses val="autoZero"/>
        <c:crossBetween val="midCat"/>
      </c:valAx>
      <c:valAx>
        <c:axId val="141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9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FRH=50/RRH=50  Roll = -1.6deg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Cz Front (Yaw)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VolumetricModelExport!$O$290:$O$308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VolumetricModelExport!$Q$290:$Q$308</c:f>
              <c:numCache>
                <c:formatCode>0.000</c:formatCode>
                <c:ptCount val="19"/>
                <c:pt idx="0">
                  <c:v>1.5210978700043676</c:v>
                </c:pt>
                <c:pt idx="1">
                  <c:v>1.5238815795255169</c:v>
                </c:pt>
                <c:pt idx="2">
                  <c:v>1.5280497843348289</c:v>
                </c:pt>
                <c:pt idx="3">
                  <c:v>1.5334253760312451</c:v>
                </c:pt>
                <c:pt idx="4">
                  <c:v>1.5395670851141747</c:v>
                </c:pt>
                <c:pt idx="5">
                  <c:v>1.5457600773466471</c:v>
                </c:pt>
                <c:pt idx="6">
                  <c:v>1.551036636418003</c:v>
                </c:pt>
                <c:pt idx="7">
                  <c:v>1.5542291800996235</c:v>
                </c:pt>
                <c:pt idx="8">
                  <c:v>1.5540540255503226</c:v>
                </c:pt>
                <c:pt idx="9">
                  <c:v>1.5492202316541637</c:v>
                </c:pt>
                <c:pt idx="10">
                  <c:v>1.5385540682015086</c:v>
                </c:pt>
                <c:pt idx="11">
                  <c:v>1.5211267669761068</c:v>
                </c:pt>
                <c:pt idx="12">
                  <c:v>1.4963716865857402</c:v>
                </c:pt>
                <c:pt idx="13">
                  <c:v>1.4641771884286818</c:v>
                </c:pt>
                <c:pt idx="14">
                  <c:v>1.4249434599431601</c:v>
                </c:pt>
                <c:pt idx="15">
                  <c:v>1.3795950589703116</c:v>
                </c:pt>
                <c:pt idx="16">
                  <c:v>1.3295456732517679</c:v>
                </c:pt>
                <c:pt idx="17">
                  <c:v>1.2766168905676292</c:v>
                </c:pt>
                <c:pt idx="18">
                  <c:v>1.2229179610165679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5E-4DBE-B8F1-AF1BE2A2A873}"/>
            </c:ext>
          </c:extLst>
        </c:ser>
        <c:ser>
          <c:idx val="1"/>
          <c:order val="1"/>
          <c:tx>
            <c:v>Cz Rear (Yaw)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VolumetricModelExport!$O$290:$O$308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VolumetricModelExport!$R$290:$R$308</c:f>
              <c:numCache>
                <c:formatCode>0.000</c:formatCode>
                <c:ptCount val="19"/>
                <c:pt idx="0">
                  <c:v>2.1434932771170319</c:v>
                </c:pt>
                <c:pt idx="1">
                  <c:v>2.1538012144645031</c:v>
                </c:pt>
                <c:pt idx="2">
                  <c:v>2.1597942823351217</c:v>
                </c:pt>
                <c:pt idx="3">
                  <c:v>2.1618291809204915</c:v>
                </c:pt>
                <c:pt idx="4">
                  <c:v>2.1604676187675036</c:v>
                </c:pt>
                <c:pt idx="5">
                  <c:v>2.1564104543653659</c:v>
                </c:pt>
                <c:pt idx="6">
                  <c:v>2.1504171126188831</c:v>
                </c:pt>
                <c:pt idx="7">
                  <c:v>2.1432192545188835</c:v>
                </c:pt>
                <c:pt idx="8">
                  <c:v>2.1354387070577987</c:v>
                </c:pt>
                <c:pt idx="9">
                  <c:v>2.1275194224311953</c:v>
                </c:pt>
                <c:pt idx="10">
                  <c:v>2.1196817138862669</c:v>
                </c:pt>
                <c:pt idx="11">
                  <c:v>2.1119043804532103</c:v>
                </c:pt>
                <c:pt idx="12">
                  <c:v>2.1039369216838866</c:v>
                </c:pt>
                <c:pt idx="13">
                  <c:v>2.0953403134307935</c:v>
                </c:pt>
                <c:pt idx="14">
                  <c:v>2.085551275122234</c:v>
                </c:pt>
                <c:pt idx="15">
                  <c:v>2.0739620907280623</c:v>
                </c:pt>
                <c:pt idx="16">
                  <c:v>2.0600062334700251</c:v>
                </c:pt>
                <c:pt idx="17">
                  <c:v>2.0432395160264298</c:v>
                </c:pt>
                <c:pt idx="18">
                  <c:v>2.0234072836616583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42-4DB7-9902-019CD9159DD5}"/>
            </c:ext>
          </c:extLst>
        </c:ser>
        <c:ser>
          <c:idx val="2"/>
          <c:order val="2"/>
          <c:tx>
            <c:v>Cz Tot (Yaw)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VolumetricModelExport!$O$290:$O$308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VolumetricModelExport!$S$290:$S$308</c:f>
              <c:numCache>
                <c:formatCode>0.000</c:formatCode>
                <c:ptCount val="19"/>
                <c:pt idx="0">
                  <c:v>3.6645911471213992</c:v>
                </c:pt>
                <c:pt idx="1">
                  <c:v>3.6776827939900203</c:v>
                </c:pt>
                <c:pt idx="2">
                  <c:v>3.6878440666699506</c:v>
                </c:pt>
                <c:pt idx="3">
                  <c:v>3.6952545569517365</c:v>
                </c:pt>
                <c:pt idx="4">
                  <c:v>3.7000347038816783</c:v>
                </c:pt>
                <c:pt idx="5">
                  <c:v>3.7021705317120128</c:v>
                </c:pt>
                <c:pt idx="6">
                  <c:v>3.7014537490368862</c:v>
                </c:pt>
                <c:pt idx="7">
                  <c:v>3.697448434618507</c:v>
                </c:pt>
                <c:pt idx="8">
                  <c:v>3.6894927326081213</c:v>
                </c:pt>
                <c:pt idx="9">
                  <c:v>3.6767396540853587</c:v>
                </c:pt>
                <c:pt idx="10">
                  <c:v>3.6582357820877753</c:v>
                </c:pt>
                <c:pt idx="11">
                  <c:v>3.6330311474293171</c:v>
                </c:pt>
                <c:pt idx="12">
                  <c:v>3.6003086082696267</c:v>
                </c:pt>
                <c:pt idx="13">
                  <c:v>3.5595175018594754</c:v>
                </c:pt>
                <c:pt idx="14">
                  <c:v>3.5104947350653939</c:v>
                </c:pt>
                <c:pt idx="15">
                  <c:v>3.4535571496983737</c:v>
                </c:pt>
                <c:pt idx="16">
                  <c:v>3.3895519067217927</c:v>
                </c:pt>
                <c:pt idx="17">
                  <c:v>3.319856406594059</c:v>
                </c:pt>
                <c:pt idx="18">
                  <c:v>3.2463252446782263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42-4DB7-9902-019CD9159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9904"/>
        <c:axId val="14101152"/>
      </c:scatterChart>
      <c:valAx>
        <c:axId val="140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Yaw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01152"/>
        <c:crosses val="autoZero"/>
        <c:crossBetween val="midCat"/>
      </c:valAx>
      <c:valAx>
        <c:axId val="141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9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FRH=50/RRH=50  Roll = -1.6deg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AB (Yaw)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VolumetricModelExport!$O$290:$O$308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VolumetricModelExport!$T$290:$T$308</c:f>
              <c:numCache>
                <c:formatCode>0.000</c:formatCode>
                <c:ptCount val="19"/>
                <c:pt idx="0">
                  <c:v>0.41507982990113829</c:v>
                </c:pt>
                <c:pt idx="1">
                  <c:v>0.41435916714073523</c:v>
                </c:pt>
                <c:pt idx="2">
                  <c:v>0.41434772097471767</c:v>
                </c:pt>
                <c:pt idx="3">
                  <c:v>0.41497151343646205</c:v>
                </c:pt>
                <c:pt idx="4">
                  <c:v>0.4160953094572401</c:v>
                </c:pt>
                <c:pt idx="5">
                  <c:v>0.41752805931169079</c:v>
                </c:pt>
                <c:pt idx="6">
                  <c:v>0.41903445013235163</c:v>
                </c:pt>
                <c:pt idx="7">
                  <c:v>0.4203518203384991</c:v>
                </c:pt>
                <c:pt idx="8">
                  <c:v>0.42121075664831403</c:v>
                </c:pt>
                <c:pt idx="9">
                  <c:v>0.42135706560913794</c:v>
                </c:pt>
                <c:pt idx="10">
                  <c:v>0.42057269127782881</c:v>
                </c:pt>
                <c:pt idx="11">
                  <c:v>0.41869356612932845</c:v>
                </c:pt>
                <c:pt idx="12">
                  <c:v>0.41562317273266286</c:v>
                </c:pt>
                <c:pt idx="13">
                  <c:v>0.41134147750749994</c:v>
                </c:pt>
                <c:pt idx="14">
                  <c:v>0.40590958468325861</c:v>
                </c:pt>
                <c:pt idx="15">
                  <c:v>0.39947074832417429</c:v>
                </c:pt>
                <c:pt idx="16">
                  <c:v>0.3922482115158516</c:v>
                </c:pt>
                <c:pt idx="17">
                  <c:v>0.38453979155000534</c:v>
                </c:pt>
                <c:pt idx="18">
                  <c:v>0.37670839144085294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5E-4DBE-B8F1-AF1BE2A2A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9904"/>
        <c:axId val="14101152"/>
      </c:scatterChart>
      <c:valAx>
        <c:axId val="140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Yaw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01152"/>
        <c:crosses val="autoZero"/>
        <c:crossBetween val="midCat"/>
      </c:valAx>
      <c:valAx>
        <c:axId val="141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9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FRH=50/RRH=50  Roll = -1.6deg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Cx (Yaw)</c:v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Summary!$BT$5:$BT$23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Summary!$BU$5:$BU$23</c:f>
              <c:numCache>
                <c:formatCode>0.000</c:formatCode>
                <c:ptCount val="19"/>
                <c:pt idx="0">
                  <c:v>1.0559610313539964</c:v>
                </c:pt>
                <c:pt idx="1">
                  <c:v>1.0609452715431253</c:v>
                </c:pt>
                <c:pt idx="2">
                  <c:v>1.0651913296753455</c:v>
                </c:pt>
                <c:pt idx="3">
                  <c:v>1.0686254405756161</c:v>
                </c:pt>
                <c:pt idx="4">
                  <c:v>1.071223891005963</c:v>
                </c:pt>
                <c:pt idx="5">
                  <c:v>1.0730089684786286</c:v>
                </c:pt>
                <c:pt idx="6">
                  <c:v>1.0740409532976272</c:v>
                </c:pt>
                <c:pt idx="7">
                  <c:v>1.074407231109199</c:v>
                </c:pt>
                <c:pt idx="8">
                  <c:v>1.0742099117515527</c:v>
                </c:pt>
                <c:pt idx="9">
                  <c:v>1.0735534669134998</c:v>
                </c:pt>
                <c:pt idx="10">
                  <c:v>1.0725338285689956</c:v>
                </c:pt>
                <c:pt idx="11">
                  <c:v>1.0712301352253257</c:v>
                </c:pt>
                <c:pt idx="12">
                  <c:v>1.0696999128411109</c:v>
                </c:pt>
                <c:pt idx="13">
                  <c:v>1.0679779910014866</c:v>
                </c:pt>
                <c:pt idx="14">
                  <c:v>1.0660789524573682</c:v>
                </c:pt>
                <c:pt idx="15">
                  <c:v>1.0640024652197275</c:v>
                </c:pt>
                <c:pt idx="16">
                  <c:v>1.0617405102405777</c:v>
                </c:pt>
                <c:pt idx="17">
                  <c:v>1.0592853344892439</c:v>
                </c:pt>
                <c:pt idx="18">
                  <c:v>1.0566369450223678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80-493B-9BEB-8940F3B8C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9904"/>
        <c:axId val="14101152"/>
      </c:scatterChart>
      <c:valAx>
        <c:axId val="140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Yaw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01152"/>
        <c:crosses val="autoZero"/>
        <c:crossBetween val="midCat"/>
      </c:valAx>
      <c:valAx>
        <c:axId val="141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9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FRH=50/RRH=50  Roll = -1.6deg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Cz Front (Yaw)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Summary!$BT$5:$BT$23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Summary!$BV$5:$BV$23</c:f>
              <c:numCache>
                <c:formatCode>0.000</c:formatCode>
                <c:ptCount val="19"/>
                <c:pt idx="0">
                  <c:v>1.5210978700043676</c:v>
                </c:pt>
                <c:pt idx="1">
                  <c:v>1.5238815795255169</c:v>
                </c:pt>
                <c:pt idx="2">
                  <c:v>1.5280497843348289</c:v>
                </c:pt>
                <c:pt idx="3">
                  <c:v>1.5334253760312451</c:v>
                </c:pt>
                <c:pt idx="4">
                  <c:v>1.5395670851141747</c:v>
                </c:pt>
                <c:pt idx="5">
                  <c:v>1.5457600773466471</c:v>
                </c:pt>
                <c:pt idx="6">
                  <c:v>1.551036636418003</c:v>
                </c:pt>
                <c:pt idx="7">
                  <c:v>1.5542291800996235</c:v>
                </c:pt>
                <c:pt idx="8">
                  <c:v>1.5540540255503226</c:v>
                </c:pt>
                <c:pt idx="9">
                  <c:v>1.5492202316541637</c:v>
                </c:pt>
                <c:pt idx="10">
                  <c:v>1.5385540682015086</c:v>
                </c:pt>
                <c:pt idx="11">
                  <c:v>1.5211267669761068</c:v>
                </c:pt>
                <c:pt idx="12">
                  <c:v>1.4963716865857402</c:v>
                </c:pt>
                <c:pt idx="13">
                  <c:v>1.4641771884286818</c:v>
                </c:pt>
                <c:pt idx="14">
                  <c:v>1.4249434599431601</c:v>
                </c:pt>
                <c:pt idx="15">
                  <c:v>1.3795950589703116</c:v>
                </c:pt>
                <c:pt idx="16">
                  <c:v>1.3295456732517679</c:v>
                </c:pt>
                <c:pt idx="17">
                  <c:v>1.2766168905676292</c:v>
                </c:pt>
                <c:pt idx="18">
                  <c:v>1.2229179610165679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6E-48C8-9FD4-489D30EDEC16}"/>
            </c:ext>
          </c:extLst>
        </c:ser>
        <c:ser>
          <c:idx val="1"/>
          <c:order val="1"/>
          <c:tx>
            <c:v>Cz Rear (Yaw)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Summary!$BT$5:$BT$23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Summary!$BW$5:$BW$23</c:f>
              <c:numCache>
                <c:formatCode>0.000</c:formatCode>
                <c:ptCount val="19"/>
                <c:pt idx="0">
                  <c:v>2.1434932771170319</c:v>
                </c:pt>
                <c:pt idx="1">
                  <c:v>2.1538012144645031</c:v>
                </c:pt>
                <c:pt idx="2">
                  <c:v>2.1597942823351217</c:v>
                </c:pt>
                <c:pt idx="3">
                  <c:v>2.1618291809204915</c:v>
                </c:pt>
                <c:pt idx="4">
                  <c:v>2.1604676187675036</c:v>
                </c:pt>
                <c:pt idx="5">
                  <c:v>2.1564104543653659</c:v>
                </c:pt>
                <c:pt idx="6">
                  <c:v>2.1504171126188831</c:v>
                </c:pt>
                <c:pt idx="7">
                  <c:v>2.1432192545188835</c:v>
                </c:pt>
                <c:pt idx="8">
                  <c:v>2.1354387070577987</c:v>
                </c:pt>
                <c:pt idx="9">
                  <c:v>2.1275194224311953</c:v>
                </c:pt>
                <c:pt idx="10">
                  <c:v>2.1196817138862669</c:v>
                </c:pt>
                <c:pt idx="11">
                  <c:v>2.1119043804532103</c:v>
                </c:pt>
                <c:pt idx="12">
                  <c:v>2.1039369216838866</c:v>
                </c:pt>
                <c:pt idx="13">
                  <c:v>2.0953403134307935</c:v>
                </c:pt>
                <c:pt idx="14">
                  <c:v>2.085551275122234</c:v>
                </c:pt>
                <c:pt idx="15">
                  <c:v>2.0739620907280623</c:v>
                </c:pt>
                <c:pt idx="16">
                  <c:v>2.0600062334700251</c:v>
                </c:pt>
                <c:pt idx="17">
                  <c:v>2.0432395160264298</c:v>
                </c:pt>
                <c:pt idx="18">
                  <c:v>2.0234072836616583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6E-48C8-9FD4-489D30EDEC16}"/>
            </c:ext>
          </c:extLst>
        </c:ser>
        <c:ser>
          <c:idx val="2"/>
          <c:order val="2"/>
          <c:tx>
            <c:v>Cz Tot (Yaw)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Summary!$BT$5:$BT$23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Summary!$BX$5:$BX$23</c:f>
              <c:numCache>
                <c:formatCode>0.000</c:formatCode>
                <c:ptCount val="19"/>
                <c:pt idx="0">
                  <c:v>3.6645911471213992</c:v>
                </c:pt>
                <c:pt idx="1">
                  <c:v>3.6776827939900203</c:v>
                </c:pt>
                <c:pt idx="2">
                  <c:v>3.6878440666699506</c:v>
                </c:pt>
                <c:pt idx="3">
                  <c:v>3.6952545569517365</c:v>
                </c:pt>
                <c:pt idx="4">
                  <c:v>3.7000347038816783</c:v>
                </c:pt>
                <c:pt idx="5">
                  <c:v>3.7021705317120128</c:v>
                </c:pt>
                <c:pt idx="6">
                  <c:v>3.7014537490368862</c:v>
                </c:pt>
                <c:pt idx="7">
                  <c:v>3.697448434618507</c:v>
                </c:pt>
                <c:pt idx="8">
                  <c:v>3.6894927326081213</c:v>
                </c:pt>
                <c:pt idx="9">
                  <c:v>3.6767396540853587</c:v>
                </c:pt>
                <c:pt idx="10">
                  <c:v>3.6582357820877753</c:v>
                </c:pt>
                <c:pt idx="11">
                  <c:v>3.6330311474293171</c:v>
                </c:pt>
                <c:pt idx="12">
                  <c:v>3.6003086082696267</c:v>
                </c:pt>
                <c:pt idx="13">
                  <c:v>3.5595175018594754</c:v>
                </c:pt>
                <c:pt idx="14">
                  <c:v>3.5104947350653939</c:v>
                </c:pt>
                <c:pt idx="15">
                  <c:v>3.4535571496983737</c:v>
                </c:pt>
                <c:pt idx="16">
                  <c:v>3.3895519067217927</c:v>
                </c:pt>
                <c:pt idx="17">
                  <c:v>3.319856406594059</c:v>
                </c:pt>
                <c:pt idx="18">
                  <c:v>3.2463252446782263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6E-48C8-9FD4-489D30EDE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9904"/>
        <c:axId val="14101152"/>
      </c:scatterChart>
      <c:valAx>
        <c:axId val="140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Yaw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01152"/>
        <c:crosses val="autoZero"/>
        <c:crossBetween val="midCat"/>
      </c:valAx>
      <c:valAx>
        <c:axId val="141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9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FRH=50/RRH=50  Roll = -1.6deg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AB (Yaw)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Summary!$BT$5:$BT$23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</c:numCache>
            </c:numRef>
          </c:xVal>
          <c:yVal>
            <c:numRef>
              <c:f>Summary!$BY$5:$BY$23</c:f>
              <c:numCache>
                <c:formatCode>0.000</c:formatCode>
                <c:ptCount val="19"/>
                <c:pt idx="0">
                  <c:v>0.41507982990113829</c:v>
                </c:pt>
                <c:pt idx="1">
                  <c:v>0.41435916714073523</c:v>
                </c:pt>
                <c:pt idx="2">
                  <c:v>0.41434772097471767</c:v>
                </c:pt>
                <c:pt idx="3">
                  <c:v>0.41497151343646205</c:v>
                </c:pt>
                <c:pt idx="4">
                  <c:v>0.4160953094572401</c:v>
                </c:pt>
                <c:pt idx="5">
                  <c:v>0.41752805931169079</c:v>
                </c:pt>
                <c:pt idx="6">
                  <c:v>0.41903445013235163</c:v>
                </c:pt>
                <c:pt idx="7">
                  <c:v>0.4203518203384991</c:v>
                </c:pt>
                <c:pt idx="8">
                  <c:v>0.42121075664831403</c:v>
                </c:pt>
                <c:pt idx="9">
                  <c:v>0.42135706560913794</c:v>
                </c:pt>
                <c:pt idx="10">
                  <c:v>0.42057269127782881</c:v>
                </c:pt>
                <c:pt idx="11">
                  <c:v>0.41869356612932845</c:v>
                </c:pt>
                <c:pt idx="12">
                  <c:v>0.41562317273266286</c:v>
                </c:pt>
                <c:pt idx="13">
                  <c:v>0.41134147750749994</c:v>
                </c:pt>
                <c:pt idx="14">
                  <c:v>0.40590958468325861</c:v>
                </c:pt>
                <c:pt idx="15">
                  <c:v>0.39947074832417429</c:v>
                </c:pt>
                <c:pt idx="16">
                  <c:v>0.3922482115158516</c:v>
                </c:pt>
                <c:pt idx="17">
                  <c:v>0.38453979155000534</c:v>
                </c:pt>
                <c:pt idx="18">
                  <c:v>0.37670839144085294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80-493B-9BEB-8940F3B8C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9904"/>
        <c:axId val="14101152"/>
      </c:scatterChart>
      <c:valAx>
        <c:axId val="140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Yaw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01152"/>
        <c:crosses val="autoZero"/>
        <c:crossBetween val="midCat"/>
      </c:valAx>
      <c:valAx>
        <c:axId val="141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9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Summary!$C$15:$J$15</c:f>
              <c:numCache>
                <c:formatCode>0.000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6D-4C6C-AF6D-982E5272F2F6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Summary!$C$16:$J$16</c:f>
              <c:numCache>
                <c:formatCode>0.000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6D-4C6C-AF6D-982E5272F2F6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Summary!$C$17:$J$17</c:f>
              <c:numCache>
                <c:formatCode>0.000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6D-4C6C-AF6D-982E5272F2F6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Summary!$C$18:$J$18</c:f>
              <c:numCache>
                <c:formatCode>0.000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6D-4C6C-AF6D-982E5272F2F6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Summary!$C$19:$J$19</c:f>
              <c:numCache>
                <c:formatCode>0.000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6D-4C6C-AF6D-982E5272F2F6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Summary!$C$20:$J$20</c:f>
              <c:numCache>
                <c:formatCode>0.000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6D-4C6C-AF6D-982E5272F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Summary!$C$24:$J$24</c:f>
              <c:numCache>
                <c:formatCode>0.000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6D-4C6C-AF6D-982E5272F2F6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Summary!$C$25:$J$25</c:f>
              <c:numCache>
                <c:formatCode>0.000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6D-4C6C-AF6D-982E5272F2F6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Summary!$C$26:$J$26</c:f>
              <c:numCache>
                <c:formatCode>0.000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6D-4C6C-AF6D-982E5272F2F6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Summary!$C$27:$J$27</c:f>
              <c:numCache>
                <c:formatCode>0.000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6D-4C6C-AF6D-982E5272F2F6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Summary!$C$28:$J$28</c:f>
              <c:numCache>
                <c:formatCode>0.000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6D-4C6C-AF6D-982E5272F2F6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Summary!$C$29:$J$29</c:f>
              <c:numCache>
                <c:formatCode>0.000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6D-4C6C-AF6D-982E5272F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Summary!$C$6:$J$6</c:f>
              <c:numCache>
                <c:formatCode>0.000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6D-4C6C-AF6D-982E5272F2F6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Summary!$C$7:$J$7</c:f>
              <c:numCache>
                <c:formatCode>0.000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6D-4C6C-AF6D-982E5272F2F6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Summary!$C$8:$J$8</c:f>
              <c:numCache>
                <c:formatCode>0.000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6D-4C6C-AF6D-982E5272F2F6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Summary!$C$9:$J$9</c:f>
              <c:numCache>
                <c:formatCode>0.000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6D-4C6C-AF6D-982E5272F2F6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Summary!$C$10:$J$10</c:f>
              <c:numCache>
                <c:formatCode>0.000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6D-4C6C-AF6D-982E5272F2F6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Summary!$C$11:$J$11</c:f>
              <c:numCache>
                <c:formatCode>0.000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6D-4C6C-AF6D-982E5272F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Summary!$C$42:$J$42</c:f>
              <c:numCache>
                <c:formatCode>0.000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6D-4C6C-AF6D-982E5272F2F6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Summary!$C$43:$J$43</c:f>
              <c:numCache>
                <c:formatCode>0.000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6D-4C6C-AF6D-982E5272F2F6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Summary!$C$44:$J$44</c:f>
              <c:numCache>
                <c:formatCode>0.000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6D-4C6C-AF6D-982E5272F2F6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Summary!$C$45:$J$45</c:f>
              <c:numCache>
                <c:formatCode>0.000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6D-4C6C-AF6D-982E5272F2F6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Summary!$C$46:$J$46</c:f>
              <c:numCache>
                <c:formatCode>0.000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6D-4C6C-AF6D-982E5272F2F6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Summary!$C$47:$J$47</c:f>
              <c:numCache>
                <c:formatCode>0.000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6D-4C6C-AF6D-982E5272F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285750</xdr:colOff>
      <xdr:row>303</xdr:row>
      <xdr:rowOff>76200</xdr:rowOff>
    </xdr:from>
    <xdr:to>
      <xdr:col>27</xdr:col>
      <xdr:colOff>590550</xdr:colOff>
      <xdr:row>317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964DF-FA01-4FC6-AA65-C800A4CA3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285750</xdr:colOff>
      <xdr:row>288</xdr:row>
      <xdr:rowOff>152400</xdr:rowOff>
    </xdr:from>
    <xdr:to>
      <xdr:col>27</xdr:col>
      <xdr:colOff>590550</xdr:colOff>
      <xdr:row>303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3EFF2D-2B76-4535-8D5A-2BD57EA76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308</xdr:row>
      <xdr:rowOff>38100</xdr:rowOff>
    </xdr:from>
    <xdr:to>
      <xdr:col>19</xdr:col>
      <xdr:colOff>600075</xdr:colOff>
      <xdr:row>319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E5F2E8-8426-4813-8398-2F520AC0A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219075</xdr:colOff>
      <xdr:row>19</xdr:row>
      <xdr:rowOff>142875</xdr:rowOff>
    </xdr:from>
    <xdr:to>
      <xdr:col>70</xdr:col>
      <xdr:colOff>523875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DD44A-8A05-4621-BE40-4770657B0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219075</xdr:colOff>
      <xdr:row>5</xdr:row>
      <xdr:rowOff>57150</xdr:rowOff>
    </xdr:from>
    <xdr:to>
      <xdr:col>70</xdr:col>
      <xdr:colOff>523875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DE826C-0CBB-44EC-9495-31D0D2ECD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70</xdr:col>
      <xdr:colOff>609599</xdr:colOff>
      <xdr:row>23</xdr:row>
      <xdr:rowOff>45719</xdr:rowOff>
    </xdr:from>
    <xdr:to>
      <xdr:col>77</xdr:col>
      <xdr:colOff>0</xdr:colOff>
      <xdr:row>33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25715-CFF3-46D2-B879-C588E00C4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240925</xdr:colOff>
      <xdr:row>48</xdr:row>
      <xdr:rowOff>1119</xdr:rowOff>
    </xdr:from>
    <xdr:to>
      <xdr:col>8</xdr:col>
      <xdr:colOff>593914</xdr:colOff>
      <xdr:row>63</xdr:row>
      <xdr:rowOff>44824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9CBB3F-DF13-4BF2-BC4A-4B9BC8A24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240925</xdr:colOff>
      <xdr:row>63</xdr:row>
      <xdr:rowOff>45942</xdr:rowOff>
    </xdr:from>
    <xdr:to>
      <xdr:col>8</xdr:col>
      <xdr:colOff>593914</xdr:colOff>
      <xdr:row>78</xdr:row>
      <xdr:rowOff>89647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95DACB-2D85-4902-B4BE-032315B46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240925</xdr:colOff>
      <xdr:row>78</xdr:row>
      <xdr:rowOff>90765</xdr:rowOff>
    </xdr:from>
    <xdr:to>
      <xdr:col>8</xdr:col>
      <xdr:colOff>593914</xdr:colOff>
      <xdr:row>93</xdr:row>
      <xdr:rowOff>134470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10B75E-4297-453F-934D-DCAFCB09C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240925</xdr:colOff>
      <xdr:row>94</xdr:row>
      <xdr:rowOff>1117</xdr:rowOff>
    </xdr:from>
    <xdr:to>
      <xdr:col>8</xdr:col>
      <xdr:colOff>593914</xdr:colOff>
      <xdr:row>109</xdr:row>
      <xdr:rowOff>44822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4AF525-E309-4A89-BF28-C17C59706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3174-4E6D-4F70-A009-CDDA7DBACB23}">
  <dimension ref="A1:AC308"/>
  <sheetViews>
    <sheetView tabSelected="1" zoomScale="85" zoomScaleNormal="85"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1" width="41.7109375" bestFit="1" customWidth="1"/>
    <col min="6" max="6" width="10.5703125" bestFit="1" customWidth="1"/>
    <col min="7" max="8" width="11.28515625" bestFit="1" customWidth="1"/>
  </cols>
  <sheetData>
    <row r="1" spans="1:29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U1" t="s">
        <v>32</v>
      </c>
    </row>
    <row r="2" spans="1:29" x14ac:dyDescent="0.25">
      <c r="A2" s="3" t="s">
        <v>5</v>
      </c>
      <c r="B2" s="21">
        <v>30</v>
      </c>
      <c r="C2" s="25">
        <v>30</v>
      </c>
      <c r="D2" s="3">
        <v>0</v>
      </c>
      <c r="E2" s="3">
        <v>0</v>
      </c>
      <c r="F2" s="4">
        <v>1.0301230593314969</v>
      </c>
      <c r="G2" s="4">
        <v>-1.8101191211465175</v>
      </c>
      <c r="H2" s="4">
        <v>-2.0417592779785094</v>
      </c>
      <c r="J2" s="5" t="s">
        <v>9</v>
      </c>
      <c r="K2" s="6" t="s">
        <v>10</v>
      </c>
      <c r="L2" s="7"/>
      <c r="M2" s="8"/>
      <c r="N2" s="8"/>
      <c r="O2" s="8"/>
      <c r="P2" s="8"/>
      <c r="Q2" s="8"/>
      <c r="R2" s="9"/>
      <c r="U2" s="5" t="s">
        <v>9</v>
      </c>
      <c r="V2" s="6" t="s">
        <v>10</v>
      </c>
      <c r="W2" s="7"/>
      <c r="X2" s="8"/>
      <c r="Y2" s="8"/>
      <c r="Z2" s="8"/>
      <c r="AA2" s="8"/>
      <c r="AB2" s="8"/>
      <c r="AC2" s="9"/>
    </row>
    <row r="3" spans="1:29" x14ac:dyDescent="0.25">
      <c r="A3" s="3" t="s">
        <v>5</v>
      </c>
      <c r="B3" s="22">
        <v>40</v>
      </c>
      <c r="C3" s="26">
        <v>30</v>
      </c>
      <c r="D3" s="3">
        <v>0</v>
      </c>
      <c r="E3" s="3">
        <v>0</v>
      </c>
      <c r="F3" s="4">
        <v>1.032144373940624</v>
      </c>
      <c r="G3" s="4">
        <v>-1.5501944838151862</v>
      </c>
      <c r="H3" s="4">
        <v>-2.0672036465150865</v>
      </c>
      <c r="J3" s="10" t="s">
        <v>11</v>
      </c>
      <c r="K3" s="11">
        <v>30</v>
      </c>
      <c r="L3" s="11">
        <v>40</v>
      </c>
      <c r="M3" s="11">
        <v>50</v>
      </c>
      <c r="N3" s="11">
        <v>60</v>
      </c>
      <c r="O3" s="11">
        <v>70</v>
      </c>
      <c r="P3" s="11">
        <v>80</v>
      </c>
      <c r="Q3" s="11">
        <v>90</v>
      </c>
      <c r="R3" s="12">
        <v>100</v>
      </c>
      <c r="U3" s="10" t="s">
        <v>11</v>
      </c>
      <c r="V3" s="11">
        <v>30</v>
      </c>
      <c r="W3" s="11">
        <v>40</v>
      </c>
      <c r="X3" s="11">
        <v>50</v>
      </c>
      <c r="Y3" s="11">
        <v>60</v>
      </c>
      <c r="Z3" s="11">
        <v>70</v>
      </c>
      <c r="AA3" s="11">
        <v>80</v>
      </c>
      <c r="AB3" s="11">
        <v>90</v>
      </c>
      <c r="AC3" s="12">
        <v>100</v>
      </c>
    </row>
    <row r="4" spans="1:29" x14ac:dyDescent="0.25">
      <c r="A4" s="3" t="s">
        <v>5</v>
      </c>
      <c r="B4" s="22">
        <v>50</v>
      </c>
      <c r="C4" s="26">
        <v>30</v>
      </c>
      <c r="D4" s="3">
        <v>0</v>
      </c>
      <c r="E4" s="3">
        <v>0</v>
      </c>
      <c r="F4" s="4">
        <v>1.0359479117418096</v>
      </c>
      <c r="G4" s="4">
        <v>-1.282181801475911</v>
      </c>
      <c r="H4" s="4">
        <v>-2.1280185021088189</v>
      </c>
      <c r="J4" s="13">
        <v>30</v>
      </c>
      <c r="K4" s="14">
        <f>F2</f>
        <v>1.0301230593314969</v>
      </c>
      <c r="L4" s="14">
        <f>F8</f>
        <v>1.048665219221969</v>
      </c>
      <c r="M4" s="14">
        <f>F14</f>
        <v>1.0722025125104937</v>
      </c>
      <c r="N4" s="14">
        <f>F20</f>
        <v>1.0975615636993075</v>
      </c>
      <c r="O4" s="14">
        <f>F26</f>
        <v>1.1218513651959361</v>
      </c>
      <c r="P4" s="14">
        <f>F32</f>
        <v>1.1432153953782405</v>
      </c>
      <c r="Q4" s="14">
        <f>F38</f>
        <v>1.1606065502975755</v>
      </c>
      <c r="R4" s="15">
        <f>F44</f>
        <v>1.1729866078405919</v>
      </c>
      <c r="U4" s="13">
        <v>30</v>
      </c>
      <c r="V4" s="14">
        <v>1.0301230593314969</v>
      </c>
      <c r="W4" s="14">
        <v>1.048665219221969</v>
      </c>
      <c r="X4" s="14">
        <v>1.0722025125104937</v>
      </c>
      <c r="Y4" s="14">
        <v>1.0975615636993075</v>
      </c>
      <c r="Z4" s="14">
        <v>1.1218513651959361</v>
      </c>
      <c r="AA4" s="14">
        <v>1.1432153953782405</v>
      </c>
      <c r="AB4" s="14">
        <v>1.1606065502975755</v>
      </c>
      <c r="AC4" s="15">
        <v>1.1729866078405919</v>
      </c>
    </row>
    <row r="5" spans="1:29" x14ac:dyDescent="0.25">
      <c r="A5" s="3" t="s">
        <v>5</v>
      </c>
      <c r="B5" s="22">
        <v>60</v>
      </c>
      <c r="C5" s="26">
        <v>30</v>
      </c>
      <c r="D5" s="3">
        <v>0</v>
      </c>
      <c r="E5" s="3">
        <v>0</v>
      </c>
      <c r="F5" s="4">
        <v>1.0376206995929691</v>
      </c>
      <c r="G5" s="4">
        <v>-1.0164606024220129</v>
      </c>
      <c r="H5" s="4">
        <v>-2.1885816155920237</v>
      </c>
      <c r="J5" s="13">
        <v>40</v>
      </c>
      <c r="K5" s="14">
        <f>F3</f>
        <v>1.032144373940624</v>
      </c>
      <c r="L5" s="14">
        <f>F9</f>
        <v>1.052899179773928</v>
      </c>
      <c r="M5" s="14">
        <f>F15</f>
        <v>1.076094370852037</v>
      </c>
      <c r="N5" s="14">
        <f t="shared" ref="N5:N8" si="0">F21</f>
        <v>1.098797540667644</v>
      </c>
      <c r="O5" s="14">
        <f>F27</f>
        <v>1.1194877727390988</v>
      </c>
      <c r="P5" s="14">
        <f>F33</f>
        <v>1.138105277525526</v>
      </c>
      <c r="Q5" s="14">
        <f>F39</f>
        <v>1.1548957651409908</v>
      </c>
      <c r="R5" s="15">
        <f>F45</f>
        <v>1.1690172498887108</v>
      </c>
      <c r="U5" s="13">
        <v>40</v>
      </c>
      <c r="V5" s="14">
        <v>1.032144373940624</v>
      </c>
      <c r="W5" s="14">
        <v>1.052899179773928</v>
      </c>
      <c r="X5" s="14">
        <v>1.076094370852037</v>
      </c>
      <c r="Y5" s="14">
        <v>1.098797540667644</v>
      </c>
      <c r="Z5" s="14">
        <v>1.1194877727390988</v>
      </c>
      <c r="AA5" s="14">
        <v>1.138105277525526</v>
      </c>
      <c r="AB5" s="14">
        <v>1.1548957651409908</v>
      </c>
      <c r="AC5" s="15">
        <v>1.1690172498887108</v>
      </c>
    </row>
    <row r="6" spans="1:29" x14ac:dyDescent="0.25">
      <c r="A6" s="3" t="s">
        <v>5</v>
      </c>
      <c r="B6" s="22">
        <v>70</v>
      </c>
      <c r="C6" s="26">
        <v>30</v>
      </c>
      <c r="D6" s="3">
        <v>0</v>
      </c>
      <c r="E6" s="3">
        <v>0</v>
      </c>
      <c r="F6" s="4">
        <v>1.0364775988713626</v>
      </c>
      <c r="G6" s="4">
        <v>-0.77380995083502335</v>
      </c>
      <c r="H6" s="4">
        <v>-2.2090093913710649</v>
      </c>
      <c r="J6" s="13">
        <v>50</v>
      </c>
      <c r="K6" s="14">
        <f>F4</f>
        <v>1.0359479117418096</v>
      </c>
      <c r="L6" s="14">
        <f>F10</f>
        <v>1.0591508706096102</v>
      </c>
      <c r="M6" s="14">
        <f>F16</f>
        <v>1.0827199710338462</v>
      </c>
      <c r="N6" s="14">
        <f t="shared" si="0"/>
        <v>1.1038456261143155</v>
      </c>
      <c r="O6" s="14">
        <f>F28</f>
        <v>1.1218964909964826</v>
      </c>
      <c r="P6" s="14">
        <f>F34</f>
        <v>1.1379356300557044</v>
      </c>
      <c r="Q6" s="14">
        <f>F40</f>
        <v>1.1529917704788533</v>
      </c>
      <c r="R6" s="15">
        <f>F46</f>
        <v>1.1664074279313505</v>
      </c>
      <c r="U6" s="13">
        <v>50</v>
      </c>
      <c r="V6" s="14">
        <v>1.0359479117418096</v>
      </c>
      <c r="W6" s="14">
        <v>1.0591508706096102</v>
      </c>
      <c r="X6" s="14">
        <v>1.0827199710338462</v>
      </c>
      <c r="Y6" s="14">
        <v>1.1038456261143155</v>
      </c>
      <c r="Z6" s="14">
        <v>1.1218964909964826</v>
      </c>
      <c r="AA6" s="14">
        <v>1.1379356300557044</v>
      </c>
      <c r="AB6" s="14">
        <v>1.1529917704788533</v>
      </c>
      <c r="AC6" s="15">
        <v>1.1664074279313505</v>
      </c>
    </row>
    <row r="7" spans="1:29" x14ac:dyDescent="0.25">
      <c r="A7" s="3" t="s">
        <v>5</v>
      </c>
      <c r="B7" s="23">
        <v>80</v>
      </c>
      <c r="C7" s="27">
        <v>30</v>
      </c>
      <c r="D7" s="3">
        <v>0</v>
      </c>
      <c r="E7" s="3">
        <v>0</v>
      </c>
      <c r="F7" s="4">
        <v>1.0357246917871077</v>
      </c>
      <c r="G7" s="4">
        <v>-0.61395153873656616</v>
      </c>
      <c r="H7" s="4">
        <v>-2.1786168084660016</v>
      </c>
      <c r="J7" s="13">
        <v>60</v>
      </c>
      <c r="K7" s="14">
        <f>F5</f>
        <v>1.0376206995929691</v>
      </c>
      <c r="L7" s="14">
        <f>F11</f>
        <v>1.0618649397730591</v>
      </c>
      <c r="M7" s="14">
        <f>F17</f>
        <v>1.0858893890362782</v>
      </c>
      <c r="N7" s="14">
        <f t="shared" si="0"/>
        <v>1.1069769079138576</v>
      </c>
      <c r="O7" s="14">
        <f>F29</f>
        <v>1.1246445325695331</v>
      </c>
      <c r="P7" s="14">
        <f>F35</f>
        <v>1.1399723798668342</v>
      </c>
      <c r="Q7" s="14">
        <f>F41</f>
        <v>1.1538670045797366</v>
      </c>
      <c r="R7" s="15">
        <f>F47</f>
        <v>1.1655957661480603</v>
      </c>
      <c r="U7" s="13">
        <v>60</v>
      </c>
      <c r="V7" s="14">
        <v>1.0376206995929691</v>
      </c>
      <c r="W7" s="14">
        <v>1.0618649397730591</v>
      </c>
      <c r="X7" s="14">
        <v>1.0858893890362782</v>
      </c>
      <c r="Y7" s="14">
        <v>1.1069769079138576</v>
      </c>
      <c r="Z7" s="14">
        <v>1.1246445325695331</v>
      </c>
      <c r="AA7" s="14">
        <v>1.1399723798668342</v>
      </c>
      <c r="AB7" s="14">
        <v>1.1538670045797366</v>
      </c>
      <c r="AC7" s="15">
        <v>1.1655957661480603</v>
      </c>
    </row>
    <row r="8" spans="1:29" x14ac:dyDescent="0.25">
      <c r="A8" s="3" t="s">
        <v>5</v>
      </c>
      <c r="B8" s="21">
        <v>30</v>
      </c>
      <c r="C8" s="25">
        <v>40</v>
      </c>
      <c r="D8" s="3">
        <v>0</v>
      </c>
      <c r="E8" s="3">
        <v>0</v>
      </c>
      <c r="F8" s="4">
        <v>1.048665219221969</v>
      </c>
      <c r="G8" s="4">
        <v>-1.9444399955914125</v>
      </c>
      <c r="H8" s="4">
        <v>-2.0857549724793012</v>
      </c>
      <c r="J8" s="13">
        <v>70</v>
      </c>
      <c r="K8" s="14">
        <f>F6</f>
        <v>1.0364775988713626</v>
      </c>
      <c r="L8" s="14">
        <f>F12</f>
        <v>1.0589379123658222</v>
      </c>
      <c r="M8" s="14">
        <f>F18</f>
        <v>1.081937575653479</v>
      </c>
      <c r="N8" s="14">
        <f t="shared" si="0"/>
        <v>1.1030719132319349</v>
      </c>
      <c r="O8" s="14">
        <f>F30</f>
        <v>1.1215969389564664</v>
      </c>
      <c r="P8" s="14">
        <f>F36</f>
        <v>1.1378397060198651</v>
      </c>
      <c r="Q8" s="14">
        <f>F42</f>
        <v>1.1518767500941334</v>
      </c>
      <c r="R8" s="15">
        <f>F48</f>
        <v>1.1625658789128033</v>
      </c>
      <c r="U8" s="13">
        <v>70</v>
      </c>
      <c r="V8" s="14">
        <v>1.0364775988713626</v>
      </c>
      <c r="W8" s="14">
        <v>1.0589379123658222</v>
      </c>
      <c r="X8" s="14">
        <v>1.081937575653479</v>
      </c>
      <c r="Y8" s="14">
        <v>1.1030719132319349</v>
      </c>
      <c r="Z8" s="14">
        <v>1.1215969389564664</v>
      </c>
      <c r="AA8" s="14">
        <v>1.1378397060198651</v>
      </c>
      <c r="AB8" s="14">
        <v>1.1518767500941334</v>
      </c>
      <c r="AC8" s="15">
        <v>1.1625658789128033</v>
      </c>
    </row>
    <row r="9" spans="1:29" ht="15.75" thickBot="1" x14ac:dyDescent="0.3">
      <c r="A9" s="3" t="s">
        <v>5</v>
      </c>
      <c r="B9" s="22">
        <v>40</v>
      </c>
      <c r="C9" s="26">
        <v>40</v>
      </c>
      <c r="D9" s="3">
        <v>0</v>
      </c>
      <c r="E9" s="3">
        <v>0</v>
      </c>
      <c r="F9" s="4">
        <v>1.052899179773928</v>
      </c>
      <c r="G9" s="4">
        <v>-1.6787490303087256</v>
      </c>
      <c r="H9" s="4">
        <v>-2.1118840219713841</v>
      </c>
      <c r="J9" s="16">
        <v>80</v>
      </c>
      <c r="K9" s="17">
        <f>F7</f>
        <v>1.0357246917871077</v>
      </c>
      <c r="L9" s="17">
        <f>F13</f>
        <v>1.0539143912732976</v>
      </c>
      <c r="M9" s="17">
        <f>F19</f>
        <v>1.0737782402066403</v>
      </c>
      <c r="N9" s="17">
        <f>F25</f>
        <v>1.0935207472943587</v>
      </c>
      <c r="O9" s="17">
        <f>F31</f>
        <v>1.1121949482191809</v>
      </c>
      <c r="P9" s="17">
        <f>F37</f>
        <v>1.1292756821444119</v>
      </c>
      <c r="Q9" s="17">
        <f>F43</f>
        <v>1.1438681111935303</v>
      </c>
      <c r="R9" s="18">
        <f>F49</f>
        <v>1.1542953268031488</v>
      </c>
      <c r="U9" s="16">
        <v>80</v>
      </c>
      <c r="V9" s="17">
        <v>1.0357246917871077</v>
      </c>
      <c r="W9" s="17">
        <v>1.0539143912732976</v>
      </c>
      <c r="X9" s="17">
        <v>1.0737782402066403</v>
      </c>
      <c r="Y9" s="17">
        <v>1.0935207472943587</v>
      </c>
      <c r="Z9" s="17">
        <v>1.1121949482191809</v>
      </c>
      <c r="AA9" s="17">
        <v>1.1292756821444119</v>
      </c>
      <c r="AB9" s="17">
        <v>1.1438681111935303</v>
      </c>
      <c r="AC9" s="18">
        <v>1.1542953268031488</v>
      </c>
    </row>
    <row r="10" spans="1:29" ht="15.75" thickBot="1" x14ac:dyDescent="0.3">
      <c r="A10" s="3" t="s">
        <v>5</v>
      </c>
      <c r="B10" s="22">
        <v>50</v>
      </c>
      <c r="C10" s="26">
        <v>40</v>
      </c>
      <c r="D10" s="3">
        <v>0</v>
      </c>
      <c r="E10" s="3">
        <v>0</v>
      </c>
      <c r="F10" s="4">
        <v>1.0591508706096102</v>
      </c>
      <c r="G10" s="4">
        <v>-1.4128829244575742</v>
      </c>
      <c r="H10" s="4">
        <v>-2.1723567949358089</v>
      </c>
    </row>
    <row r="11" spans="1:29" x14ac:dyDescent="0.25">
      <c r="A11" s="3" t="s">
        <v>5</v>
      </c>
      <c r="B11" s="22">
        <v>60</v>
      </c>
      <c r="C11" s="26">
        <v>40</v>
      </c>
      <c r="D11" s="3">
        <v>0</v>
      </c>
      <c r="E11" s="3">
        <v>0</v>
      </c>
      <c r="F11" s="4">
        <v>1.0618649397730591</v>
      </c>
      <c r="G11" s="4">
        <v>-1.1448902664768379</v>
      </c>
      <c r="H11" s="4">
        <v>-2.226642500968099</v>
      </c>
      <c r="J11" s="5" t="s">
        <v>12</v>
      </c>
      <c r="K11" s="6" t="s">
        <v>10</v>
      </c>
      <c r="L11" s="7"/>
      <c r="M11" s="8"/>
      <c r="N11" s="8"/>
      <c r="O11" s="8"/>
      <c r="P11" s="8"/>
      <c r="Q11" s="8"/>
      <c r="R11" s="9"/>
      <c r="U11" s="5" t="s">
        <v>12</v>
      </c>
      <c r="V11" s="6" t="s">
        <v>10</v>
      </c>
      <c r="W11" s="7"/>
      <c r="X11" s="8"/>
      <c r="Y11" s="8"/>
      <c r="Z11" s="8"/>
      <c r="AA11" s="8"/>
      <c r="AB11" s="8"/>
      <c r="AC11" s="9"/>
    </row>
    <row r="12" spans="1:29" x14ac:dyDescent="0.25">
      <c r="A12" s="3" t="s">
        <v>5</v>
      </c>
      <c r="B12" s="22">
        <v>70</v>
      </c>
      <c r="C12" s="26">
        <v>40</v>
      </c>
      <c r="D12" s="3">
        <v>0</v>
      </c>
      <c r="E12" s="3">
        <v>0</v>
      </c>
      <c r="F12" s="4">
        <v>1.0589379123658222</v>
      </c>
      <c r="G12" s="4">
        <v>-0.87479506139653229</v>
      </c>
      <c r="H12" s="4">
        <v>-2.237689457761423</v>
      </c>
      <c r="J12" s="10" t="s">
        <v>11</v>
      </c>
      <c r="K12" s="11">
        <v>30</v>
      </c>
      <c r="L12" s="11">
        <v>40</v>
      </c>
      <c r="M12" s="11">
        <v>50</v>
      </c>
      <c r="N12" s="11">
        <v>60</v>
      </c>
      <c r="O12" s="11">
        <v>70</v>
      </c>
      <c r="P12" s="11">
        <v>80</v>
      </c>
      <c r="Q12" s="11">
        <v>90</v>
      </c>
      <c r="R12" s="12">
        <v>100</v>
      </c>
      <c r="U12" s="10" t="s">
        <v>11</v>
      </c>
      <c r="V12" s="11">
        <v>30</v>
      </c>
      <c r="W12" s="11">
        <v>40</v>
      </c>
      <c r="X12" s="11">
        <v>50</v>
      </c>
      <c r="Y12" s="11">
        <v>60</v>
      </c>
      <c r="Z12" s="11">
        <v>70</v>
      </c>
      <c r="AA12" s="11">
        <v>80</v>
      </c>
      <c r="AB12" s="11">
        <v>90</v>
      </c>
      <c r="AC12" s="12">
        <v>100</v>
      </c>
    </row>
    <row r="13" spans="1:29" x14ac:dyDescent="0.25">
      <c r="A13" s="3" t="s">
        <v>5</v>
      </c>
      <c r="B13" s="23">
        <v>80</v>
      </c>
      <c r="C13" s="27">
        <v>40</v>
      </c>
      <c r="D13" s="3">
        <v>0</v>
      </c>
      <c r="E13" s="3">
        <v>0</v>
      </c>
      <c r="F13" s="4">
        <v>1.0539143912732976</v>
      </c>
      <c r="G13" s="4">
        <v>-0.65871567774786666</v>
      </c>
      <c r="H13" s="4">
        <v>-2.2029836258081246</v>
      </c>
      <c r="J13" s="13">
        <v>30</v>
      </c>
      <c r="K13" s="14">
        <f>G2</f>
        <v>-1.8101191211465175</v>
      </c>
      <c r="L13" s="14">
        <f>G8</f>
        <v>-1.9444399955914125</v>
      </c>
      <c r="M13" s="14">
        <f>G14</f>
        <v>-2.0847558522588905</v>
      </c>
      <c r="N13" s="14">
        <f>G20</f>
        <v>-2.2219646137145581</v>
      </c>
      <c r="O13" s="14">
        <f>G26</f>
        <v>-2.350354884143639</v>
      </c>
      <c r="P13" s="14">
        <f>G32</f>
        <v>-2.4656376705182343</v>
      </c>
      <c r="Q13" s="14">
        <f>G38</f>
        <v>-2.5600189727010458</v>
      </c>
      <c r="R13" s="15">
        <f>G44</f>
        <v>-2.6190354151983417</v>
      </c>
      <c r="U13" s="13">
        <v>30</v>
      </c>
      <c r="V13" s="14">
        <v>1.8101191211465175</v>
      </c>
      <c r="W13" s="14">
        <v>1.9444399955914125</v>
      </c>
      <c r="X13" s="14">
        <v>2.0847558522588905</v>
      </c>
      <c r="Y13" s="14">
        <v>2.2219646137145581</v>
      </c>
      <c r="Z13" s="14">
        <v>2.350354884143639</v>
      </c>
      <c r="AA13" s="14">
        <v>2.4656376705182343</v>
      </c>
      <c r="AB13" s="14">
        <v>2.5600189727010458</v>
      </c>
      <c r="AC13" s="15">
        <v>2.6190354151983417</v>
      </c>
    </row>
    <row r="14" spans="1:29" x14ac:dyDescent="0.25">
      <c r="A14" s="3" t="s">
        <v>5</v>
      </c>
      <c r="B14" s="21">
        <v>30</v>
      </c>
      <c r="C14" s="25">
        <v>50</v>
      </c>
      <c r="D14" s="3">
        <v>0</v>
      </c>
      <c r="E14" s="3">
        <v>0</v>
      </c>
      <c r="F14" s="4">
        <v>1.0722025125104937</v>
      </c>
      <c r="G14" s="4">
        <v>-2.0847558522588905</v>
      </c>
      <c r="H14" s="4">
        <v>-2.1379307136910395</v>
      </c>
      <c r="J14" s="13">
        <v>40</v>
      </c>
      <c r="K14" s="14">
        <f t="shared" ref="K14:K18" si="1">G3</f>
        <v>-1.5501944838151862</v>
      </c>
      <c r="L14" s="14">
        <f t="shared" ref="L14:L18" si="2">G9</f>
        <v>-1.6787490303087256</v>
      </c>
      <c r="M14" s="14">
        <f>G15</f>
        <v>-1.8164214237073641</v>
      </c>
      <c r="N14" s="14">
        <f>G21</f>
        <v>-1.9523195633477728</v>
      </c>
      <c r="O14" s="14">
        <f t="shared" ref="O14:O18" si="3">G27</f>
        <v>-2.0824064855867017</v>
      </c>
      <c r="P14" s="14">
        <f t="shared" ref="P14:P18" si="4">G33</f>
        <v>-2.2062051651705037</v>
      </c>
      <c r="Q14" s="14">
        <f>G39</f>
        <v>-2.318996783821786</v>
      </c>
      <c r="R14" s="15">
        <f>G45</f>
        <v>-2.4063701372309261</v>
      </c>
      <c r="U14" s="13">
        <v>40</v>
      </c>
      <c r="V14" s="14">
        <v>1.5501944838151862</v>
      </c>
      <c r="W14" s="14">
        <v>1.6787490303087256</v>
      </c>
      <c r="X14" s="14">
        <v>1.8164214237073641</v>
      </c>
      <c r="Y14" s="14">
        <v>1.9523195633477728</v>
      </c>
      <c r="Z14" s="14">
        <v>2.0824064855867017</v>
      </c>
      <c r="AA14" s="14">
        <v>2.2062051651705037</v>
      </c>
      <c r="AB14" s="14">
        <v>2.318996783821786</v>
      </c>
      <c r="AC14" s="15">
        <v>2.4063701372309261</v>
      </c>
    </row>
    <row r="15" spans="1:29" x14ac:dyDescent="0.25">
      <c r="A15" s="3" t="s">
        <v>5</v>
      </c>
      <c r="B15" s="22">
        <v>40</v>
      </c>
      <c r="C15" s="26">
        <v>50</v>
      </c>
      <c r="D15" s="3">
        <v>0</v>
      </c>
      <c r="E15" s="3">
        <v>0</v>
      </c>
      <c r="F15" s="4">
        <v>1.076094370852037</v>
      </c>
      <c r="G15" s="4">
        <v>-1.8164214237073641</v>
      </c>
      <c r="H15" s="4">
        <v>-2.1651594134251058</v>
      </c>
      <c r="J15" s="13">
        <v>50</v>
      </c>
      <c r="K15" s="14">
        <f t="shared" si="1"/>
        <v>-1.282181801475911</v>
      </c>
      <c r="L15" s="14">
        <f t="shared" si="2"/>
        <v>-1.4128829244575742</v>
      </c>
      <c r="M15" s="14">
        <f>G16</f>
        <v>-1.554411542932099</v>
      </c>
      <c r="N15" s="14">
        <f>G22</f>
        <v>-1.6898910611837619</v>
      </c>
      <c r="O15" s="14">
        <f t="shared" si="3"/>
        <v>-1.8132125609011527</v>
      </c>
      <c r="P15" s="14">
        <f t="shared" si="4"/>
        <v>-1.9262021557402935</v>
      </c>
      <c r="Q15" s="14">
        <f>G40</f>
        <v>-2.0292718701150356</v>
      </c>
      <c r="R15" s="15">
        <f>G46</f>
        <v>-2.1136784868145337</v>
      </c>
      <c r="U15" s="13">
        <v>50</v>
      </c>
      <c r="V15" s="14">
        <v>1.282181801475911</v>
      </c>
      <c r="W15" s="14">
        <v>1.4128829244575742</v>
      </c>
      <c r="X15" s="14">
        <v>1.554411542932099</v>
      </c>
      <c r="Y15" s="14">
        <v>1.6898910611837619</v>
      </c>
      <c r="Z15" s="14">
        <v>1.8132125609011527</v>
      </c>
      <c r="AA15" s="14">
        <v>1.9262021557402935</v>
      </c>
      <c r="AB15" s="14">
        <v>2.0292718701150356</v>
      </c>
      <c r="AC15" s="15">
        <v>2.1136784868145337</v>
      </c>
    </row>
    <row r="16" spans="1:29" x14ac:dyDescent="0.25">
      <c r="A16" s="3" t="s">
        <v>5</v>
      </c>
      <c r="B16" s="22">
        <v>50</v>
      </c>
      <c r="C16" s="26">
        <v>50</v>
      </c>
      <c r="D16" s="3">
        <v>0</v>
      </c>
      <c r="E16" s="3">
        <v>0</v>
      </c>
      <c r="F16" s="4">
        <v>1.0827199710338462</v>
      </c>
      <c r="G16" s="4">
        <v>-1.554411542932099</v>
      </c>
      <c r="H16" s="4">
        <v>-2.2239376645572526</v>
      </c>
      <c r="J16" s="13">
        <v>60</v>
      </c>
      <c r="K16" s="14">
        <f t="shared" si="1"/>
        <v>-1.0164606024220129</v>
      </c>
      <c r="L16" s="14">
        <f t="shared" si="2"/>
        <v>-1.1448902664768379</v>
      </c>
      <c r="M16" s="14">
        <f>G17</f>
        <v>-1.2915402433056677</v>
      </c>
      <c r="N16" s="14">
        <f>G23</f>
        <v>-1.4332972160561814</v>
      </c>
      <c r="O16" s="14">
        <f t="shared" si="3"/>
        <v>-1.5586282550661188</v>
      </c>
      <c r="P16" s="14">
        <f t="shared" si="4"/>
        <v>-1.6666923694790325</v>
      </c>
      <c r="Q16" s="14">
        <f>G41</f>
        <v>-1.75904215655811</v>
      </c>
      <c r="R16" s="15">
        <f>G47</f>
        <v>-1.8317439123739139</v>
      </c>
      <c r="U16" s="13">
        <v>60</v>
      </c>
      <c r="V16" s="14">
        <v>1.0164606024220129</v>
      </c>
      <c r="W16" s="14">
        <v>1.1448902664768379</v>
      </c>
      <c r="X16" s="14">
        <v>1.2915402433056677</v>
      </c>
      <c r="Y16" s="14">
        <v>1.4332972160561814</v>
      </c>
      <c r="Z16" s="14">
        <v>1.5586282550661188</v>
      </c>
      <c r="AA16" s="14">
        <v>1.6666923694790325</v>
      </c>
      <c r="AB16" s="14">
        <v>1.75904215655811</v>
      </c>
      <c r="AC16" s="15">
        <v>1.8317439123739139</v>
      </c>
    </row>
    <row r="17" spans="1:29" x14ac:dyDescent="0.25">
      <c r="A17" s="3" t="s">
        <v>5</v>
      </c>
      <c r="B17" s="22">
        <v>60</v>
      </c>
      <c r="C17" s="26">
        <v>50</v>
      </c>
      <c r="D17" s="3">
        <v>0</v>
      </c>
      <c r="E17" s="3">
        <v>0</v>
      </c>
      <c r="F17" s="4">
        <v>1.0858893890362782</v>
      </c>
      <c r="G17" s="4">
        <v>-1.2915402433056677</v>
      </c>
      <c r="H17" s="4">
        <v>-2.2704856641180302</v>
      </c>
      <c r="J17" s="13">
        <v>70</v>
      </c>
      <c r="K17" s="14">
        <f t="shared" si="1"/>
        <v>-0.77380995083502335</v>
      </c>
      <c r="L17" s="14">
        <f t="shared" si="2"/>
        <v>-0.87479506139653229</v>
      </c>
      <c r="M17" s="14">
        <f>G18</f>
        <v>-1.0070247459832156</v>
      </c>
      <c r="N17" s="14">
        <f>G24</f>
        <v>-1.1467690063985529</v>
      </c>
      <c r="O17" s="14">
        <f t="shared" si="3"/>
        <v>-1.2783337820096092</v>
      </c>
      <c r="P17" s="14">
        <f t="shared" si="4"/>
        <v>-1.3949608595397365</v>
      </c>
      <c r="Q17" s="14">
        <f>G42</f>
        <v>-1.493548558760051</v>
      </c>
      <c r="R17" s="15">
        <f>G48</f>
        <v>-1.5693854789622712</v>
      </c>
      <c r="U17" s="13">
        <v>70</v>
      </c>
      <c r="V17" s="14">
        <v>0.77380995083502335</v>
      </c>
      <c r="W17" s="14">
        <v>0.87479506139653229</v>
      </c>
      <c r="X17" s="14">
        <v>1.0070247459832156</v>
      </c>
      <c r="Y17" s="14">
        <v>1.1467690063985529</v>
      </c>
      <c r="Z17" s="14">
        <v>1.2783337820096092</v>
      </c>
      <c r="AA17" s="14">
        <v>1.3949608595397365</v>
      </c>
      <c r="AB17" s="14">
        <v>1.493548558760051</v>
      </c>
      <c r="AC17" s="15">
        <v>1.5693854789622712</v>
      </c>
    </row>
    <row r="18" spans="1:29" ht="15.75" thickBot="1" x14ac:dyDescent="0.3">
      <c r="A18" s="3" t="s">
        <v>5</v>
      </c>
      <c r="B18" s="22">
        <v>70</v>
      </c>
      <c r="C18" s="26">
        <v>50</v>
      </c>
      <c r="D18" s="3">
        <v>0</v>
      </c>
      <c r="E18" s="3">
        <v>0</v>
      </c>
      <c r="F18" s="4">
        <v>1.081937575653479</v>
      </c>
      <c r="G18" s="4">
        <v>-1.0070247459832156</v>
      </c>
      <c r="H18" s="4">
        <v>-2.272316129004107</v>
      </c>
      <c r="J18" s="16">
        <v>80</v>
      </c>
      <c r="K18" s="17">
        <f t="shared" si="1"/>
        <v>-0.61395153873656616</v>
      </c>
      <c r="L18" s="17">
        <f t="shared" si="2"/>
        <v>-0.65871567774786666</v>
      </c>
      <c r="M18" s="17">
        <f>G19</f>
        <v>-0.7456526106044612</v>
      </c>
      <c r="N18" s="17">
        <f>G25</f>
        <v>-0.85818825430721057</v>
      </c>
      <c r="O18" s="17">
        <f t="shared" si="3"/>
        <v>-0.98195113225817687</v>
      </c>
      <c r="P18" s="17">
        <f t="shared" si="4"/>
        <v>-1.1059229447662657</v>
      </c>
      <c r="Q18" s="17">
        <f>G43</f>
        <v>-1.2202830695887987</v>
      </c>
      <c r="R18" s="18">
        <f>G49</f>
        <v>-1.3150460653106293</v>
      </c>
      <c r="U18" s="16">
        <v>80</v>
      </c>
      <c r="V18" s="17">
        <v>0.61395153873656616</v>
      </c>
      <c r="W18" s="17">
        <v>0.65871567774786666</v>
      </c>
      <c r="X18" s="17">
        <v>0.7456526106044612</v>
      </c>
      <c r="Y18" s="17">
        <v>0.85818825430721057</v>
      </c>
      <c r="Z18" s="17">
        <v>0.98195113225817687</v>
      </c>
      <c r="AA18" s="17">
        <v>1.1059229447662657</v>
      </c>
      <c r="AB18" s="17">
        <v>1.2202830695887987</v>
      </c>
      <c r="AC18" s="18">
        <v>1.3150460653106293</v>
      </c>
    </row>
    <row r="19" spans="1:29" ht="15.75" thickBot="1" x14ac:dyDescent="0.3">
      <c r="A19" s="3" t="s">
        <v>5</v>
      </c>
      <c r="B19" s="23">
        <v>80</v>
      </c>
      <c r="C19" s="27">
        <v>50</v>
      </c>
      <c r="D19" s="3">
        <v>0</v>
      </c>
      <c r="E19" s="3">
        <v>0</v>
      </c>
      <c r="F19" s="4">
        <v>1.0737782402066403</v>
      </c>
      <c r="G19" s="4">
        <v>-0.7456526106044612</v>
      </c>
      <c r="H19" s="4">
        <v>-2.2351093567829072</v>
      </c>
    </row>
    <row r="20" spans="1:29" x14ac:dyDescent="0.25">
      <c r="A20" s="3" t="s">
        <v>5</v>
      </c>
      <c r="B20" s="21">
        <v>30</v>
      </c>
      <c r="C20" s="25">
        <v>60</v>
      </c>
      <c r="D20" s="3">
        <v>0</v>
      </c>
      <c r="E20" s="3">
        <v>0</v>
      </c>
      <c r="F20" s="4">
        <v>1.0975615636993075</v>
      </c>
      <c r="G20" s="4">
        <v>-2.2219646137145581</v>
      </c>
      <c r="H20" s="4">
        <v>-2.190573189620137</v>
      </c>
      <c r="J20" s="5" t="s">
        <v>13</v>
      </c>
      <c r="K20" s="6" t="s">
        <v>10</v>
      </c>
      <c r="L20" s="7"/>
      <c r="M20" s="8"/>
      <c r="N20" s="8"/>
      <c r="O20" s="8"/>
      <c r="P20" s="8"/>
      <c r="Q20" s="8"/>
      <c r="R20" s="9"/>
      <c r="U20" s="5" t="s">
        <v>13</v>
      </c>
      <c r="V20" s="6" t="s">
        <v>10</v>
      </c>
      <c r="W20" s="7"/>
      <c r="X20" s="8"/>
      <c r="Y20" s="8"/>
      <c r="Z20" s="8"/>
      <c r="AA20" s="8"/>
      <c r="AB20" s="8"/>
      <c r="AC20" s="9"/>
    </row>
    <row r="21" spans="1:29" x14ac:dyDescent="0.25">
      <c r="A21" s="3" t="s">
        <v>5</v>
      </c>
      <c r="B21" s="22">
        <v>40</v>
      </c>
      <c r="C21" s="26">
        <v>60</v>
      </c>
      <c r="D21" s="3">
        <v>0</v>
      </c>
      <c r="E21" s="3">
        <v>0</v>
      </c>
      <c r="F21" s="4">
        <v>1.098797540667644</v>
      </c>
      <c r="G21" s="4">
        <v>-1.9523195633477728</v>
      </c>
      <c r="H21" s="4">
        <v>-2.2198932884917708</v>
      </c>
      <c r="J21" s="10" t="s">
        <v>11</v>
      </c>
      <c r="K21" s="11">
        <v>30</v>
      </c>
      <c r="L21" s="11">
        <v>40</v>
      </c>
      <c r="M21" s="11">
        <v>50</v>
      </c>
      <c r="N21" s="11">
        <v>60</v>
      </c>
      <c r="O21" s="11">
        <v>70</v>
      </c>
      <c r="P21" s="11">
        <v>80</v>
      </c>
      <c r="Q21" s="11">
        <v>90</v>
      </c>
      <c r="R21" s="12">
        <v>100</v>
      </c>
      <c r="U21" s="10" t="s">
        <v>11</v>
      </c>
      <c r="V21" s="11">
        <v>30</v>
      </c>
      <c r="W21" s="11">
        <v>40</v>
      </c>
      <c r="X21" s="11">
        <v>50</v>
      </c>
      <c r="Y21" s="11">
        <v>60</v>
      </c>
      <c r="Z21" s="11">
        <v>70</v>
      </c>
      <c r="AA21" s="11">
        <v>80</v>
      </c>
      <c r="AB21" s="11">
        <v>90</v>
      </c>
      <c r="AC21" s="12">
        <v>100</v>
      </c>
    </row>
    <row r="22" spans="1:29" x14ac:dyDescent="0.25">
      <c r="A22" s="3" t="s">
        <v>5</v>
      </c>
      <c r="B22" s="22">
        <v>50</v>
      </c>
      <c r="C22" s="26">
        <v>60</v>
      </c>
      <c r="D22" s="3">
        <v>0</v>
      </c>
      <c r="E22" s="3">
        <v>0</v>
      </c>
      <c r="F22" s="4">
        <v>1.1038456261143155</v>
      </c>
      <c r="G22" s="4">
        <v>-1.6898910611837619</v>
      </c>
      <c r="H22" s="4">
        <v>-2.2770241054216855</v>
      </c>
      <c r="J22" s="13">
        <v>30</v>
      </c>
      <c r="K22" s="14">
        <f>H2</f>
        <v>-2.0417592779785094</v>
      </c>
      <c r="L22" s="14">
        <f>H8</f>
        <v>-2.0857549724793012</v>
      </c>
      <c r="M22" s="14">
        <f>H14</f>
        <v>-2.1379307136910395</v>
      </c>
      <c r="N22" s="14">
        <f>H20</f>
        <v>-2.190573189620137</v>
      </c>
      <c r="O22" s="14">
        <f>H26</f>
        <v>-2.2284247975217468</v>
      </c>
      <c r="P22" s="14">
        <f>H32</f>
        <v>-2.2343438769564483</v>
      </c>
      <c r="Q22" s="14">
        <f>H38</f>
        <v>-2.1979288836943125</v>
      </c>
      <c r="R22" s="15">
        <f>H44</f>
        <v>-2.1219550388390358</v>
      </c>
      <c r="U22" s="13">
        <v>30</v>
      </c>
      <c r="V22" s="14">
        <v>2.0417592779785094</v>
      </c>
      <c r="W22" s="14">
        <v>2.0857549724793012</v>
      </c>
      <c r="X22" s="14">
        <v>2.1379307136910395</v>
      </c>
      <c r="Y22" s="14">
        <v>2.190573189620137</v>
      </c>
      <c r="Z22" s="14">
        <v>2.2284247975217468</v>
      </c>
      <c r="AA22" s="14">
        <v>2.2343438769564483</v>
      </c>
      <c r="AB22" s="14">
        <v>2.1979288836943125</v>
      </c>
      <c r="AC22" s="15">
        <v>2.1219550388390358</v>
      </c>
    </row>
    <row r="23" spans="1:29" x14ac:dyDescent="0.25">
      <c r="A23" s="3" t="s">
        <v>5</v>
      </c>
      <c r="B23" s="22">
        <v>60</v>
      </c>
      <c r="C23" s="26">
        <v>60</v>
      </c>
      <c r="D23" s="3">
        <v>0</v>
      </c>
      <c r="E23" s="3">
        <v>0</v>
      </c>
      <c r="F23" s="4">
        <v>1.1069769079138576</v>
      </c>
      <c r="G23" s="4">
        <v>-1.4332972160561814</v>
      </c>
      <c r="H23" s="4">
        <v>-2.3167534136612908</v>
      </c>
      <c r="J23" s="13">
        <v>40</v>
      </c>
      <c r="K23" s="14">
        <f>H3</f>
        <v>-2.0672036465150865</v>
      </c>
      <c r="L23" s="14">
        <f>H9</f>
        <v>-2.1118840219713841</v>
      </c>
      <c r="M23" s="14">
        <f>H15</f>
        <v>-2.1651594134251058</v>
      </c>
      <c r="N23" s="14">
        <f>H21</f>
        <v>-2.2198932884917708</v>
      </c>
      <c r="O23" s="14">
        <f>H27</f>
        <v>-2.2589520334864717</v>
      </c>
      <c r="P23" s="14">
        <f>H33</f>
        <v>-2.2613359373931745</v>
      </c>
      <c r="Q23" s="14">
        <f>H39</f>
        <v>-2.2132846485488145</v>
      </c>
      <c r="R23" s="15">
        <f>H45</f>
        <v>-2.1175382039980066</v>
      </c>
      <c r="U23" s="13">
        <v>40</v>
      </c>
      <c r="V23" s="14">
        <v>2.0672036465150865</v>
      </c>
      <c r="W23" s="14">
        <v>2.1118840219713841</v>
      </c>
      <c r="X23" s="14">
        <v>2.1651594134251058</v>
      </c>
      <c r="Y23" s="14">
        <v>2.2198932884917708</v>
      </c>
      <c r="Z23" s="14">
        <v>2.2589520334864717</v>
      </c>
      <c r="AA23" s="14">
        <v>2.2613359373931745</v>
      </c>
      <c r="AB23" s="14">
        <v>2.2132846485488145</v>
      </c>
      <c r="AC23" s="15">
        <v>2.1175382039980066</v>
      </c>
    </row>
    <row r="24" spans="1:29" x14ac:dyDescent="0.25">
      <c r="A24" s="3" t="s">
        <v>5</v>
      </c>
      <c r="B24" s="22">
        <v>70</v>
      </c>
      <c r="C24" s="26">
        <v>60</v>
      </c>
      <c r="D24" s="3">
        <v>0</v>
      </c>
      <c r="E24" s="3">
        <v>0</v>
      </c>
      <c r="F24" s="4">
        <v>1.1030719132319349</v>
      </c>
      <c r="G24" s="4">
        <v>-1.1467690063985529</v>
      </c>
      <c r="H24" s="4">
        <v>-2.3117664655364769</v>
      </c>
      <c r="J24" s="13">
        <v>50</v>
      </c>
      <c r="K24" s="14">
        <f>H4</f>
        <v>-2.1280185021088189</v>
      </c>
      <c r="L24" s="14">
        <f>H10</f>
        <v>-2.1723567949358089</v>
      </c>
      <c r="M24" s="14">
        <f>H16</f>
        <v>-2.2239376645572526</v>
      </c>
      <c r="N24" s="14">
        <f>H22</f>
        <v>-2.2770241054216855</v>
      </c>
      <c r="O24" s="14">
        <f>H28</f>
        <v>-2.3129535360120288</v>
      </c>
      <c r="P24" s="14">
        <f>H34</f>
        <v>-2.3066501901409371</v>
      </c>
      <c r="Q24" s="14">
        <f>H40</f>
        <v>-2.2406650732461313</v>
      </c>
      <c r="R24" s="15">
        <f>H46</f>
        <v>-2.1178714693982963</v>
      </c>
      <c r="U24" s="13">
        <v>50</v>
      </c>
      <c r="V24" s="14">
        <v>2.1280185021088189</v>
      </c>
      <c r="W24" s="14">
        <v>2.1723567949358089</v>
      </c>
      <c r="X24" s="14">
        <v>2.2239376645572526</v>
      </c>
      <c r="Y24" s="14">
        <v>2.2770241054216855</v>
      </c>
      <c r="Z24" s="14">
        <v>2.3129535360120288</v>
      </c>
      <c r="AA24" s="14">
        <v>2.3066501901409371</v>
      </c>
      <c r="AB24" s="14">
        <v>2.2406650732461313</v>
      </c>
      <c r="AC24" s="15">
        <v>2.1178714693982963</v>
      </c>
    </row>
    <row r="25" spans="1:29" x14ac:dyDescent="0.25">
      <c r="A25" s="3" t="s">
        <v>5</v>
      </c>
      <c r="B25" s="23">
        <v>80</v>
      </c>
      <c r="C25" s="27">
        <v>60</v>
      </c>
      <c r="D25" s="3">
        <v>0</v>
      </c>
      <c r="E25" s="3">
        <v>0</v>
      </c>
      <c r="F25" s="4">
        <v>1.0935207472943587</v>
      </c>
      <c r="G25" s="4">
        <v>-0.85818825430721057</v>
      </c>
      <c r="H25" s="4">
        <v>-2.2744157456184242</v>
      </c>
      <c r="J25" s="13">
        <v>60</v>
      </c>
      <c r="K25" s="14">
        <f>H5</f>
        <v>-2.1885816155920237</v>
      </c>
      <c r="L25" s="14">
        <f>H11</f>
        <v>-2.226642500968099</v>
      </c>
      <c r="M25" s="14">
        <f>H17</f>
        <v>-2.2704856641180302</v>
      </c>
      <c r="N25" s="14">
        <f>H23</f>
        <v>-2.3167534136612908</v>
      </c>
      <c r="O25" s="14">
        <f>H29</f>
        <v>-2.3462404956133618</v>
      </c>
      <c r="P25" s="14">
        <f>H35</f>
        <v>-2.3306131643215564</v>
      </c>
      <c r="Q25" s="14">
        <f>H41</f>
        <v>-2.2490735928919778</v>
      </c>
      <c r="R25" s="15">
        <f>H47</f>
        <v>-2.1041970251170681</v>
      </c>
      <c r="U25" s="13">
        <v>60</v>
      </c>
      <c r="V25" s="14">
        <v>2.1885816155920237</v>
      </c>
      <c r="W25" s="14">
        <v>2.226642500968099</v>
      </c>
      <c r="X25" s="14">
        <v>2.2704856641180302</v>
      </c>
      <c r="Y25" s="14">
        <v>2.3167534136612908</v>
      </c>
      <c r="Z25" s="14">
        <v>2.3462404956133618</v>
      </c>
      <c r="AA25" s="14">
        <v>2.3306131643215564</v>
      </c>
      <c r="AB25" s="14">
        <v>2.2490735928919778</v>
      </c>
      <c r="AC25" s="15">
        <v>2.1041970251170681</v>
      </c>
    </row>
    <row r="26" spans="1:29" x14ac:dyDescent="0.25">
      <c r="A26" s="3" t="s">
        <v>5</v>
      </c>
      <c r="B26" s="21">
        <v>30</v>
      </c>
      <c r="C26" s="25">
        <v>70</v>
      </c>
      <c r="D26" s="3">
        <v>0</v>
      </c>
      <c r="E26" s="3">
        <v>0</v>
      </c>
      <c r="F26" s="4">
        <v>1.1218513651959361</v>
      </c>
      <c r="G26" s="4">
        <v>-2.350354884143639</v>
      </c>
      <c r="H26" s="4">
        <v>-2.2284247975217468</v>
      </c>
      <c r="J26" s="13">
        <v>70</v>
      </c>
      <c r="K26" s="14">
        <f>H6</f>
        <v>-2.2090093913710649</v>
      </c>
      <c r="L26" s="14">
        <f>H12</f>
        <v>-2.237689457761423</v>
      </c>
      <c r="M26" s="14">
        <f>H18</f>
        <v>-2.272316129004107</v>
      </c>
      <c r="N26" s="14">
        <f>H24</f>
        <v>-2.3117664655364769</v>
      </c>
      <c r="O26" s="14">
        <f>H30</f>
        <v>-2.3372180023685512</v>
      </c>
      <c r="P26" s="14">
        <f>H36</f>
        <v>-2.3188600837799744</v>
      </c>
      <c r="Q26" s="14">
        <f>H42</f>
        <v>-2.2338448397713941</v>
      </c>
      <c r="R26" s="15">
        <f>H48</f>
        <v>-2.0837448740719129</v>
      </c>
      <c r="U26" s="13">
        <v>70</v>
      </c>
      <c r="V26" s="14">
        <v>2.2090093913710649</v>
      </c>
      <c r="W26" s="14">
        <v>2.237689457761423</v>
      </c>
      <c r="X26" s="14">
        <v>2.272316129004107</v>
      </c>
      <c r="Y26" s="14">
        <v>2.3117664655364769</v>
      </c>
      <c r="Z26" s="14">
        <v>2.3372180023685512</v>
      </c>
      <c r="AA26" s="14">
        <v>2.3188600837799744</v>
      </c>
      <c r="AB26" s="14">
        <v>2.2338448397713941</v>
      </c>
      <c r="AC26" s="15">
        <v>2.0837448740719129</v>
      </c>
    </row>
    <row r="27" spans="1:29" ht="15.75" thickBot="1" x14ac:dyDescent="0.3">
      <c r="A27" s="3" t="s">
        <v>5</v>
      </c>
      <c r="B27" s="22">
        <v>40</v>
      </c>
      <c r="C27" s="26">
        <v>70</v>
      </c>
      <c r="D27" s="3">
        <v>0</v>
      </c>
      <c r="E27" s="3">
        <v>0</v>
      </c>
      <c r="F27" s="4">
        <v>1.1194877727390988</v>
      </c>
      <c r="G27" s="4">
        <v>-2.0824064855867017</v>
      </c>
      <c r="H27" s="4">
        <v>-2.2589520334864717</v>
      </c>
      <c r="J27" s="16">
        <v>80</v>
      </c>
      <c r="K27" s="17">
        <f>H7</f>
        <v>-2.1786168084660016</v>
      </c>
      <c r="L27" s="17">
        <f>H13</f>
        <v>-2.2029836258081246</v>
      </c>
      <c r="M27" s="17">
        <f>H19</f>
        <v>-2.2351093567829072</v>
      </c>
      <c r="N27" s="17">
        <f>H25</f>
        <v>-2.2744157456184242</v>
      </c>
      <c r="O27" s="17">
        <f>H31</f>
        <v>-2.3028719706755982</v>
      </c>
      <c r="P27" s="17">
        <f>H37</f>
        <v>-2.2914849694509476</v>
      </c>
      <c r="Q27" s="17">
        <f>H43</f>
        <v>-2.2175429472752484</v>
      </c>
      <c r="R27" s="18">
        <f>H49</f>
        <v>-2.0813781661507118</v>
      </c>
      <c r="U27" s="16">
        <v>80</v>
      </c>
      <c r="V27" s="17">
        <v>2.1786168084660016</v>
      </c>
      <c r="W27" s="17">
        <v>2.2029836258081246</v>
      </c>
      <c r="X27" s="17">
        <v>2.2351093567829072</v>
      </c>
      <c r="Y27" s="17">
        <v>2.2744157456184242</v>
      </c>
      <c r="Z27" s="17">
        <v>2.3028719706755982</v>
      </c>
      <c r="AA27" s="17">
        <v>2.2914849694509476</v>
      </c>
      <c r="AB27" s="17">
        <v>2.2175429472752484</v>
      </c>
      <c r="AC27" s="18">
        <v>2.0813781661507118</v>
      </c>
    </row>
    <row r="28" spans="1:29" ht="15.75" thickBot="1" x14ac:dyDescent="0.3">
      <c r="A28" s="3" t="s">
        <v>5</v>
      </c>
      <c r="B28" s="22">
        <v>50</v>
      </c>
      <c r="C28" s="26">
        <v>70</v>
      </c>
      <c r="D28" s="3">
        <v>0</v>
      </c>
      <c r="E28" s="3">
        <v>0</v>
      </c>
      <c r="F28" s="4">
        <v>1.1218964909964826</v>
      </c>
      <c r="G28" s="4">
        <v>-1.8132125609011527</v>
      </c>
      <c r="H28" s="4">
        <v>-2.3129535360120288</v>
      </c>
    </row>
    <row r="29" spans="1:29" x14ac:dyDescent="0.25">
      <c r="A29" s="3" t="s">
        <v>5</v>
      </c>
      <c r="B29" s="22">
        <v>60</v>
      </c>
      <c r="C29" s="26">
        <v>70</v>
      </c>
      <c r="D29" s="3">
        <v>0</v>
      </c>
      <c r="E29" s="3">
        <v>0</v>
      </c>
      <c r="F29" s="4">
        <v>1.1246445325695331</v>
      </c>
      <c r="G29" s="4">
        <v>-1.5586282550661188</v>
      </c>
      <c r="H29" s="4">
        <v>-2.3462404956133618</v>
      </c>
      <c r="J29" s="5" t="s">
        <v>29</v>
      </c>
      <c r="K29" s="6" t="s">
        <v>10</v>
      </c>
      <c r="L29" s="7"/>
      <c r="M29" s="8"/>
      <c r="N29" s="8"/>
      <c r="O29" s="8"/>
      <c r="P29" s="8"/>
      <c r="Q29" s="8"/>
      <c r="R29" s="9"/>
      <c r="U29" s="5" t="s">
        <v>29</v>
      </c>
      <c r="V29" s="6" t="s">
        <v>10</v>
      </c>
      <c r="W29" s="7"/>
      <c r="X29" s="8"/>
      <c r="Y29" s="8"/>
      <c r="Z29" s="8"/>
      <c r="AA29" s="8"/>
      <c r="AB29" s="8"/>
      <c r="AC29" s="9"/>
    </row>
    <row r="30" spans="1:29" x14ac:dyDescent="0.25">
      <c r="A30" s="3" t="s">
        <v>5</v>
      </c>
      <c r="B30" s="22">
        <v>70</v>
      </c>
      <c r="C30" s="26">
        <v>70</v>
      </c>
      <c r="D30" s="3">
        <v>0</v>
      </c>
      <c r="E30" s="3">
        <v>0</v>
      </c>
      <c r="F30" s="4">
        <v>1.1215969389564664</v>
      </c>
      <c r="G30" s="4">
        <v>-1.2783337820096092</v>
      </c>
      <c r="H30" s="4">
        <v>-2.3372180023685512</v>
      </c>
      <c r="J30" s="10" t="s">
        <v>11</v>
      </c>
      <c r="K30" s="11">
        <v>30</v>
      </c>
      <c r="L30" s="11">
        <v>40</v>
      </c>
      <c r="M30" s="11">
        <v>50</v>
      </c>
      <c r="N30" s="11">
        <v>60</v>
      </c>
      <c r="O30" s="11">
        <v>70</v>
      </c>
      <c r="P30" s="11">
        <v>80</v>
      </c>
      <c r="Q30" s="11">
        <v>90</v>
      </c>
      <c r="R30" s="12">
        <v>100</v>
      </c>
      <c r="U30" s="10" t="s">
        <v>11</v>
      </c>
      <c r="V30" s="11">
        <v>30</v>
      </c>
      <c r="W30" s="11">
        <v>40</v>
      </c>
      <c r="X30" s="11">
        <v>50</v>
      </c>
      <c r="Y30" s="11">
        <v>60</v>
      </c>
      <c r="Z30" s="11">
        <v>70</v>
      </c>
      <c r="AA30" s="11">
        <v>80</v>
      </c>
      <c r="AB30" s="11">
        <v>90</v>
      </c>
      <c r="AC30" s="12">
        <v>100</v>
      </c>
    </row>
    <row r="31" spans="1:29" x14ac:dyDescent="0.25">
      <c r="A31" s="3" t="s">
        <v>5</v>
      </c>
      <c r="B31" s="23">
        <v>80</v>
      </c>
      <c r="C31" s="27">
        <v>70</v>
      </c>
      <c r="D31" s="3">
        <v>0</v>
      </c>
      <c r="E31" s="3">
        <v>0</v>
      </c>
      <c r="F31" s="4">
        <v>1.1121949482191809</v>
      </c>
      <c r="G31" s="4">
        <v>-0.98195113225817687</v>
      </c>
      <c r="H31" s="4">
        <v>-2.3028719706755982</v>
      </c>
      <c r="J31" s="13">
        <v>30</v>
      </c>
      <c r="K31" s="31">
        <f>K13+K22</f>
        <v>-3.8518783991250269</v>
      </c>
      <c r="L31" s="31">
        <f t="shared" ref="L31:R31" si="5">L13+L22</f>
        <v>-4.0301949680707132</v>
      </c>
      <c r="M31" s="31">
        <f t="shared" si="5"/>
        <v>-4.22268656594993</v>
      </c>
      <c r="N31" s="31">
        <f t="shared" si="5"/>
        <v>-4.4125378033346951</v>
      </c>
      <c r="O31" s="31">
        <f t="shared" si="5"/>
        <v>-4.5787796816653863</v>
      </c>
      <c r="P31" s="31">
        <f t="shared" si="5"/>
        <v>-4.6999815474746827</v>
      </c>
      <c r="Q31" s="31">
        <f t="shared" si="5"/>
        <v>-4.7579478563953579</v>
      </c>
      <c r="R31" s="15">
        <f t="shared" si="5"/>
        <v>-4.7409904540373775</v>
      </c>
      <c r="U31" s="13">
        <v>30</v>
      </c>
      <c r="V31" s="31">
        <v>3.8518783991250269</v>
      </c>
      <c r="W31" s="31">
        <v>4.0301949680707132</v>
      </c>
      <c r="X31" s="31">
        <v>4.22268656594993</v>
      </c>
      <c r="Y31" s="31">
        <v>4.4125378033346951</v>
      </c>
      <c r="Z31" s="31">
        <v>4.5787796816653863</v>
      </c>
      <c r="AA31" s="31">
        <v>4.6999815474746827</v>
      </c>
      <c r="AB31" s="31">
        <v>4.7579478563953579</v>
      </c>
      <c r="AC31" s="15">
        <v>4.7409904540373775</v>
      </c>
    </row>
    <row r="32" spans="1:29" x14ac:dyDescent="0.25">
      <c r="A32" s="3" t="s">
        <v>5</v>
      </c>
      <c r="B32" s="21">
        <v>30</v>
      </c>
      <c r="C32" s="25">
        <v>80</v>
      </c>
      <c r="D32" s="3">
        <v>0</v>
      </c>
      <c r="E32" s="3">
        <v>0</v>
      </c>
      <c r="F32" s="4">
        <v>1.1432153953782405</v>
      </c>
      <c r="G32" s="4">
        <v>-2.4656376705182343</v>
      </c>
      <c r="H32" s="4">
        <v>-2.2343438769564483</v>
      </c>
      <c r="J32" s="13">
        <v>40</v>
      </c>
      <c r="K32" s="31">
        <f t="shared" ref="K32:R32" si="6">K14+K23</f>
        <v>-3.6173981303302725</v>
      </c>
      <c r="L32" s="31">
        <f t="shared" si="6"/>
        <v>-3.7906330522801097</v>
      </c>
      <c r="M32" s="31">
        <f t="shared" si="6"/>
        <v>-3.9815808371324701</v>
      </c>
      <c r="N32" s="31">
        <f t="shared" si="6"/>
        <v>-4.1722128518395438</v>
      </c>
      <c r="O32" s="31">
        <f t="shared" si="6"/>
        <v>-4.3413585190731734</v>
      </c>
      <c r="P32" s="31">
        <f t="shared" si="6"/>
        <v>-4.4675411025636782</v>
      </c>
      <c r="Q32" s="31">
        <f t="shared" si="6"/>
        <v>-4.5322814323706009</v>
      </c>
      <c r="R32" s="15">
        <f t="shared" si="6"/>
        <v>-4.5239083412289327</v>
      </c>
      <c r="U32" s="13">
        <v>40</v>
      </c>
      <c r="V32" s="31">
        <v>3.6173981303302725</v>
      </c>
      <c r="W32" s="31">
        <v>3.7906330522801097</v>
      </c>
      <c r="X32" s="31">
        <v>3.9815808371324701</v>
      </c>
      <c r="Y32" s="31">
        <v>4.1722128518395438</v>
      </c>
      <c r="Z32" s="31">
        <v>4.3413585190731734</v>
      </c>
      <c r="AA32" s="31">
        <v>4.4675411025636782</v>
      </c>
      <c r="AB32" s="31">
        <v>4.5322814323706009</v>
      </c>
      <c r="AC32" s="15">
        <v>4.5239083412289327</v>
      </c>
    </row>
    <row r="33" spans="1:29" x14ac:dyDescent="0.25">
      <c r="A33" s="3" t="s">
        <v>5</v>
      </c>
      <c r="B33" s="22">
        <v>40</v>
      </c>
      <c r="C33" s="26">
        <v>80</v>
      </c>
      <c r="D33" s="3">
        <v>0</v>
      </c>
      <c r="E33" s="3">
        <v>0</v>
      </c>
      <c r="F33" s="4">
        <v>1.138105277525526</v>
      </c>
      <c r="G33" s="4">
        <v>-2.2062051651705037</v>
      </c>
      <c r="H33" s="4">
        <v>-2.2613359373931745</v>
      </c>
      <c r="J33" s="13">
        <v>50</v>
      </c>
      <c r="K33" s="31">
        <f t="shared" ref="K33:R33" si="7">K15+K24</f>
        <v>-3.4102003035847299</v>
      </c>
      <c r="L33" s="31">
        <f t="shared" si="7"/>
        <v>-3.5852397193933832</v>
      </c>
      <c r="M33" s="31">
        <f t="shared" si="7"/>
        <v>-3.7783492074893514</v>
      </c>
      <c r="N33" s="31">
        <f t="shared" si="7"/>
        <v>-3.9669151666054474</v>
      </c>
      <c r="O33" s="31">
        <f t="shared" si="7"/>
        <v>-4.126166096913181</v>
      </c>
      <c r="P33" s="31">
        <f t="shared" si="7"/>
        <v>-4.2328523458812306</v>
      </c>
      <c r="Q33" s="31">
        <f t="shared" si="7"/>
        <v>-4.2699369433611665</v>
      </c>
      <c r="R33" s="15">
        <f t="shared" si="7"/>
        <v>-4.23154995621283</v>
      </c>
      <c r="U33" s="13">
        <v>50</v>
      </c>
      <c r="V33" s="31">
        <v>3.4102003035847299</v>
      </c>
      <c r="W33" s="31">
        <v>3.5852397193933832</v>
      </c>
      <c r="X33" s="31">
        <v>3.7783492074893514</v>
      </c>
      <c r="Y33" s="31">
        <v>3.9669151666054474</v>
      </c>
      <c r="Z33" s="31">
        <v>4.126166096913181</v>
      </c>
      <c r="AA33" s="31">
        <v>4.2328523458812306</v>
      </c>
      <c r="AB33" s="31">
        <v>4.2699369433611665</v>
      </c>
      <c r="AC33" s="15">
        <v>4.23154995621283</v>
      </c>
    </row>
    <row r="34" spans="1:29" x14ac:dyDescent="0.25">
      <c r="A34" s="3" t="s">
        <v>5</v>
      </c>
      <c r="B34" s="22">
        <v>50</v>
      </c>
      <c r="C34" s="26">
        <v>80</v>
      </c>
      <c r="D34" s="3">
        <v>0</v>
      </c>
      <c r="E34" s="3">
        <v>0</v>
      </c>
      <c r="F34" s="4">
        <v>1.1379356300557044</v>
      </c>
      <c r="G34" s="4">
        <v>-1.9262021557402935</v>
      </c>
      <c r="H34" s="4">
        <v>-2.3066501901409371</v>
      </c>
      <c r="J34" s="13">
        <v>60</v>
      </c>
      <c r="K34" s="31">
        <f t="shared" ref="K34:R34" si="8">K16+K25</f>
        <v>-3.2050422180140368</v>
      </c>
      <c r="L34" s="31">
        <f t="shared" si="8"/>
        <v>-3.3715327674449371</v>
      </c>
      <c r="M34" s="31">
        <f t="shared" si="8"/>
        <v>-3.5620259074236982</v>
      </c>
      <c r="N34" s="31">
        <f t="shared" si="8"/>
        <v>-3.7500506297174723</v>
      </c>
      <c r="O34" s="31">
        <f t="shared" si="8"/>
        <v>-3.9048687506794808</v>
      </c>
      <c r="P34" s="31">
        <f t="shared" si="8"/>
        <v>-3.997305533800589</v>
      </c>
      <c r="Q34" s="31">
        <f t="shared" si="8"/>
        <v>-4.0081157494500879</v>
      </c>
      <c r="R34" s="15">
        <f t="shared" si="8"/>
        <v>-3.9359409374909822</v>
      </c>
      <c r="U34" s="13">
        <v>60</v>
      </c>
      <c r="V34" s="31">
        <v>3.2050422180140368</v>
      </c>
      <c r="W34" s="31">
        <v>3.3715327674449371</v>
      </c>
      <c r="X34" s="31">
        <v>3.5620259074236982</v>
      </c>
      <c r="Y34" s="31">
        <v>3.7500506297174723</v>
      </c>
      <c r="Z34" s="31">
        <v>3.9048687506794808</v>
      </c>
      <c r="AA34" s="31">
        <v>3.997305533800589</v>
      </c>
      <c r="AB34" s="31">
        <v>4.0081157494500879</v>
      </c>
      <c r="AC34" s="15">
        <v>3.9359409374909822</v>
      </c>
    </row>
    <row r="35" spans="1:29" x14ac:dyDescent="0.25">
      <c r="A35" s="3" t="s">
        <v>5</v>
      </c>
      <c r="B35" s="22">
        <v>60</v>
      </c>
      <c r="C35" s="26">
        <v>80</v>
      </c>
      <c r="D35" s="3">
        <v>0</v>
      </c>
      <c r="E35" s="3">
        <v>0</v>
      </c>
      <c r="F35" s="4">
        <v>1.1399723798668342</v>
      </c>
      <c r="G35" s="4">
        <v>-1.6666923694790325</v>
      </c>
      <c r="H35" s="4">
        <v>-2.3306131643215564</v>
      </c>
      <c r="J35" s="13">
        <v>70</v>
      </c>
      <c r="K35" s="31">
        <f t="shared" ref="K35:R35" si="9">K17+K26</f>
        <v>-2.9828193422060885</v>
      </c>
      <c r="L35" s="31">
        <f t="shared" si="9"/>
        <v>-3.1124845191579551</v>
      </c>
      <c r="M35" s="31">
        <f t="shared" si="9"/>
        <v>-3.2793408749873225</v>
      </c>
      <c r="N35" s="31">
        <f t="shared" si="9"/>
        <v>-3.4585354719350301</v>
      </c>
      <c r="O35" s="31">
        <f t="shared" si="9"/>
        <v>-3.6155517843781606</v>
      </c>
      <c r="P35" s="31">
        <f t="shared" si="9"/>
        <v>-3.7138209433197109</v>
      </c>
      <c r="Q35" s="31">
        <f t="shared" si="9"/>
        <v>-3.7273933985314454</v>
      </c>
      <c r="R35" s="15">
        <f t="shared" si="9"/>
        <v>-3.6531303530341841</v>
      </c>
      <c r="U35" s="13">
        <v>70</v>
      </c>
      <c r="V35" s="31">
        <v>2.9828193422060885</v>
      </c>
      <c r="W35" s="31">
        <v>3.1124845191579551</v>
      </c>
      <c r="X35" s="31">
        <v>3.2793408749873225</v>
      </c>
      <c r="Y35" s="31">
        <v>3.4585354719350301</v>
      </c>
      <c r="Z35" s="31">
        <v>3.6155517843781606</v>
      </c>
      <c r="AA35" s="31">
        <v>3.7138209433197109</v>
      </c>
      <c r="AB35" s="31">
        <v>3.7273933985314454</v>
      </c>
      <c r="AC35" s="15">
        <v>3.6531303530341841</v>
      </c>
    </row>
    <row r="36" spans="1:29" ht="15.75" thickBot="1" x14ac:dyDescent="0.3">
      <c r="A36" s="3" t="s">
        <v>5</v>
      </c>
      <c r="B36" s="22">
        <v>70</v>
      </c>
      <c r="C36" s="26">
        <v>80</v>
      </c>
      <c r="D36" s="3">
        <v>0</v>
      </c>
      <c r="E36" s="3">
        <v>0</v>
      </c>
      <c r="F36" s="4">
        <v>1.1378397060198651</v>
      </c>
      <c r="G36" s="4">
        <v>-1.3949608595397365</v>
      </c>
      <c r="H36" s="4">
        <v>-2.3188600837799744</v>
      </c>
      <c r="J36" s="16">
        <v>80</v>
      </c>
      <c r="K36" s="17">
        <f t="shared" ref="K36:R36" si="10">K18+K27</f>
        <v>-2.7925683472025677</v>
      </c>
      <c r="L36" s="17">
        <f t="shared" si="10"/>
        <v>-2.8616993035559912</v>
      </c>
      <c r="M36" s="17">
        <f t="shared" si="10"/>
        <v>-2.9807619673873686</v>
      </c>
      <c r="N36" s="17">
        <f t="shared" si="10"/>
        <v>-3.1326039999256348</v>
      </c>
      <c r="O36" s="17">
        <f t="shared" si="10"/>
        <v>-3.2848231029337751</v>
      </c>
      <c r="P36" s="17">
        <f t="shared" si="10"/>
        <v>-3.3974079142172133</v>
      </c>
      <c r="Q36" s="17">
        <f t="shared" si="10"/>
        <v>-3.4378260168640473</v>
      </c>
      <c r="R36" s="18">
        <f t="shared" si="10"/>
        <v>-3.3964242314613413</v>
      </c>
      <c r="U36" s="16">
        <v>80</v>
      </c>
      <c r="V36" s="17">
        <v>2.7925683472025677</v>
      </c>
      <c r="W36" s="17">
        <v>2.8616993035559912</v>
      </c>
      <c r="X36" s="17">
        <v>2.9807619673873686</v>
      </c>
      <c r="Y36" s="17">
        <v>3.1326039999256348</v>
      </c>
      <c r="Z36" s="17">
        <v>3.2848231029337751</v>
      </c>
      <c r="AA36" s="17">
        <v>3.3974079142172133</v>
      </c>
      <c r="AB36" s="17">
        <v>3.4378260168640473</v>
      </c>
      <c r="AC36" s="18">
        <v>3.3964242314613413</v>
      </c>
    </row>
    <row r="37" spans="1:29" ht="15.75" thickBot="1" x14ac:dyDescent="0.3">
      <c r="A37" s="3" t="s">
        <v>5</v>
      </c>
      <c r="B37" s="23">
        <v>80</v>
      </c>
      <c r="C37" s="27">
        <v>80</v>
      </c>
      <c r="D37" s="3">
        <v>0</v>
      </c>
      <c r="E37" s="3">
        <v>0</v>
      </c>
      <c r="F37" s="4">
        <v>1.1292756821444119</v>
      </c>
      <c r="G37" s="4">
        <v>-1.1059229447662657</v>
      </c>
      <c r="H37" s="4">
        <v>-2.2914849694509476</v>
      </c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3" t="s">
        <v>5</v>
      </c>
      <c r="B38" s="21">
        <v>30</v>
      </c>
      <c r="C38" s="25">
        <v>90</v>
      </c>
      <c r="D38" s="3">
        <v>0</v>
      </c>
      <c r="E38" s="3">
        <v>0</v>
      </c>
      <c r="F38" s="4">
        <v>1.1606065502975755</v>
      </c>
      <c r="G38" s="4">
        <v>-2.5600189727010458</v>
      </c>
      <c r="H38" s="4">
        <v>-2.1979288836943125</v>
      </c>
      <c r="J38" s="5" t="s">
        <v>30</v>
      </c>
      <c r="K38" s="6" t="s">
        <v>10</v>
      </c>
      <c r="L38" s="7"/>
      <c r="M38" s="8"/>
      <c r="N38" s="8"/>
      <c r="O38" s="8"/>
      <c r="P38" s="8"/>
      <c r="Q38" s="8"/>
      <c r="R38" s="9"/>
      <c r="U38" s="5" t="s">
        <v>30</v>
      </c>
      <c r="V38" s="6" t="s">
        <v>10</v>
      </c>
      <c r="W38" s="7"/>
      <c r="X38" s="8"/>
      <c r="Y38" s="8"/>
      <c r="Z38" s="8"/>
      <c r="AA38" s="8"/>
      <c r="AB38" s="8"/>
      <c r="AC38" s="9"/>
    </row>
    <row r="39" spans="1:29" x14ac:dyDescent="0.25">
      <c r="A39" s="3" t="s">
        <v>5</v>
      </c>
      <c r="B39" s="22">
        <v>40</v>
      </c>
      <c r="C39" s="26">
        <v>90</v>
      </c>
      <c r="D39" s="3">
        <v>0</v>
      </c>
      <c r="E39" s="3">
        <v>0</v>
      </c>
      <c r="F39" s="4">
        <v>1.1548957651409908</v>
      </c>
      <c r="G39" s="4">
        <v>-2.318996783821786</v>
      </c>
      <c r="H39" s="4">
        <v>-2.2132846485488145</v>
      </c>
      <c r="J39" s="10" t="s">
        <v>11</v>
      </c>
      <c r="K39" s="11">
        <v>30</v>
      </c>
      <c r="L39" s="11">
        <v>40</v>
      </c>
      <c r="M39" s="11">
        <v>50</v>
      </c>
      <c r="N39" s="11">
        <v>60</v>
      </c>
      <c r="O39" s="11">
        <v>70</v>
      </c>
      <c r="P39" s="11">
        <v>80</v>
      </c>
      <c r="Q39" s="11">
        <v>90</v>
      </c>
      <c r="R39" s="12">
        <v>100</v>
      </c>
      <c r="U39" s="10" t="s">
        <v>11</v>
      </c>
      <c r="V39" s="11">
        <v>30</v>
      </c>
      <c r="W39" s="11">
        <v>40</v>
      </c>
      <c r="X39" s="11">
        <v>50</v>
      </c>
      <c r="Y39" s="11">
        <v>60</v>
      </c>
      <c r="Z39" s="11">
        <v>70</v>
      </c>
      <c r="AA39" s="11">
        <v>80</v>
      </c>
      <c r="AB39" s="11">
        <v>90</v>
      </c>
      <c r="AC39" s="12">
        <v>100</v>
      </c>
    </row>
    <row r="40" spans="1:29" x14ac:dyDescent="0.25">
      <c r="A40" s="3" t="s">
        <v>5</v>
      </c>
      <c r="B40" s="22">
        <v>50</v>
      </c>
      <c r="C40" s="26">
        <v>90</v>
      </c>
      <c r="D40" s="3">
        <v>0</v>
      </c>
      <c r="E40" s="3">
        <v>0</v>
      </c>
      <c r="F40" s="4">
        <v>1.1529917704788533</v>
      </c>
      <c r="G40" s="4">
        <v>-2.0292718701150356</v>
      </c>
      <c r="H40" s="4">
        <v>-2.2406650732461313</v>
      </c>
      <c r="J40" s="13">
        <v>30</v>
      </c>
      <c r="K40" s="31">
        <f>K13/(K13+K22)</f>
        <v>0.46993153303014312</v>
      </c>
      <c r="L40" s="31">
        <f t="shared" ref="L40:R40" si="11">L13/(L13+L22)</f>
        <v>0.48246797264059699</v>
      </c>
      <c r="M40" s="31">
        <f t="shared" si="11"/>
        <v>0.49370366938184213</v>
      </c>
      <c r="N40" s="31">
        <f t="shared" si="11"/>
        <v>0.50355707140579031</v>
      </c>
      <c r="O40" s="31">
        <f t="shared" si="11"/>
        <v>0.51331469246163242</v>
      </c>
      <c r="P40" s="31">
        <f t="shared" si="11"/>
        <v>0.52460581932348871</v>
      </c>
      <c r="Q40" s="31">
        <f t="shared" si="11"/>
        <v>0.53805107789485684</v>
      </c>
      <c r="R40" s="15">
        <f t="shared" si="11"/>
        <v>0.55242368458430424</v>
      </c>
      <c r="U40" s="13">
        <v>30</v>
      </c>
      <c r="V40" s="31">
        <v>0.46993153303014312</v>
      </c>
      <c r="W40" s="31">
        <v>0.48246797264059699</v>
      </c>
      <c r="X40" s="31">
        <v>0.49370366938184213</v>
      </c>
      <c r="Y40" s="31">
        <v>0.50355707140579031</v>
      </c>
      <c r="Z40" s="31">
        <v>0.51331469246163242</v>
      </c>
      <c r="AA40" s="31">
        <v>0.52460581932348871</v>
      </c>
      <c r="AB40" s="31">
        <v>0.53805107789485684</v>
      </c>
      <c r="AC40" s="15">
        <v>0.55242368458430424</v>
      </c>
    </row>
    <row r="41" spans="1:29" x14ac:dyDescent="0.25">
      <c r="A41" s="3" t="s">
        <v>5</v>
      </c>
      <c r="B41" s="22">
        <v>60</v>
      </c>
      <c r="C41" s="26">
        <v>90</v>
      </c>
      <c r="D41" s="3">
        <v>0</v>
      </c>
      <c r="E41" s="3">
        <v>0</v>
      </c>
      <c r="F41" s="4">
        <v>1.1538670045797366</v>
      </c>
      <c r="G41" s="4">
        <v>-1.75904215655811</v>
      </c>
      <c r="H41" s="4">
        <v>-2.2490735928919778</v>
      </c>
      <c r="J41" s="13">
        <v>40</v>
      </c>
      <c r="K41" s="31">
        <f t="shared" ref="K41:R41" si="12">K14/(K14+K23)</f>
        <v>0.42853853182968604</v>
      </c>
      <c r="L41" s="31">
        <f t="shared" si="12"/>
        <v>0.44286772345293052</v>
      </c>
      <c r="M41" s="31">
        <f t="shared" si="12"/>
        <v>0.4562060894927224</v>
      </c>
      <c r="N41" s="31">
        <f t="shared" si="12"/>
        <v>0.46793383575504494</v>
      </c>
      <c r="O41" s="31">
        <f t="shared" si="12"/>
        <v>0.47966701585181909</v>
      </c>
      <c r="P41" s="31">
        <f t="shared" si="12"/>
        <v>0.49382985282541281</v>
      </c>
      <c r="Q41" s="31">
        <f t="shared" si="12"/>
        <v>0.51166213273054384</v>
      </c>
      <c r="R41" s="15">
        <f t="shared" si="12"/>
        <v>0.53192283214500957</v>
      </c>
      <c r="U41" s="13">
        <v>40</v>
      </c>
      <c r="V41" s="31">
        <v>0.42853853182968604</v>
      </c>
      <c r="W41" s="31">
        <v>0.44286772345293052</v>
      </c>
      <c r="X41" s="31">
        <v>0.4562060894927224</v>
      </c>
      <c r="Y41" s="31">
        <v>0.46793383575504494</v>
      </c>
      <c r="Z41" s="31">
        <v>0.47966701585181909</v>
      </c>
      <c r="AA41" s="31">
        <v>0.49382985282541281</v>
      </c>
      <c r="AB41" s="31">
        <v>0.51166213273054384</v>
      </c>
      <c r="AC41" s="15">
        <v>0.53192283214500957</v>
      </c>
    </row>
    <row r="42" spans="1:29" x14ac:dyDescent="0.25">
      <c r="A42" s="3" t="s">
        <v>5</v>
      </c>
      <c r="B42" s="22">
        <v>70</v>
      </c>
      <c r="C42" s="26">
        <v>90</v>
      </c>
      <c r="D42" s="3">
        <v>0</v>
      </c>
      <c r="E42" s="3">
        <v>0</v>
      </c>
      <c r="F42" s="4">
        <v>1.1518767500941334</v>
      </c>
      <c r="G42" s="4">
        <v>-1.493548558760051</v>
      </c>
      <c r="H42" s="4">
        <v>-2.2338448397713941</v>
      </c>
      <c r="J42" s="13">
        <v>50</v>
      </c>
      <c r="K42" s="31">
        <f t="shared" ref="K42:R42" si="13">K15/(K15+K24)</f>
        <v>0.37598430805607191</v>
      </c>
      <c r="L42" s="31">
        <f t="shared" si="13"/>
        <v>0.39408325106267422</v>
      </c>
      <c r="M42" s="31">
        <f t="shared" si="13"/>
        <v>0.41139965036873311</v>
      </c>
      <c r="N42" s="31">
        <f t="shared" si="13"/>
        <v>0.42599626919418815</v>
      </c>
      <c r="O42" s="31">
        <f t="shared" si="13"/>
        <v>0.43944245537222359</v>
      </c>
      <c r="P42" s="31">
        <f t="shared" si="13"/>
        <v>0.45506008675558479</v>
      </c>
      <c r="Q42" s="31">
        <f t="shared" si="13"/>
        <v>0.47524633197923843</v>
      </c>
      <c r="R42" s="15">
        <f t="shared" si="13"/>
        <v>0.4995045571212498</v>
      </c>
      <c r="U42" s="13">
        <v>50</v>
      </c>
      <c r="V42" s="31">
        <v>0.37598430805607191</v>
      </c>
      <c r="W42" s="31">
        <v>0.39408325106267422</v>
      </c>
      <c r="X42" s="31">
        <v>0.41139965036873311</v>
      </c>
      <c r="Y42" s="31">
        <v>0.42599626919418815</v>
      </c>
      <c r="Z42" s="31">
        <v>0.43944245537222359</v>
      </c>
      <c r="AA42" s="31">
        <v>0.45506008675558479</v>
      </c>
      <c r="AB42" s="31">
        <v>0.47524633197923843</v>
      </c>
      <c r="AC42" s="15">
        <v>0.4995045571212498</v>
      </c>
    </row>
    <row r="43" spans="1:29" x14ac:dyDescent="0.25">
      <c r="A43" s="3" t="s">
        <v>5</v>
      </c>
      <c r="B43" s="23">
        <v>80</v>
      </c>
      <c r="C43" s="27">
        <v>90</v>
      </c>
      <c r="D43" s="3">
        <v>0</v>
      </c>
      <c r="E43" s="3">
        <v>0</v>
      </c>
      <c r="F43" s="4">
        <v>1.1438681111935303</v>
      </c>
      <c r="G43" s="4">
        <v>-1.2202830695887987</v>
      </c>
      <c r="H43" s="4">
        <v>-2.2175429472752484</v>
      </c>
      <c r="J43" s="13">
        <v>60</v>
      </c>
      <c r="K43" s="31">
        <f t="shared" ref="K43:R43" si="14">K16/(K16+K25)</f>
        <v>0.3171442162942395</v>
      </c>
      <c r="L43" s="31">
        <f t="shared" si="14"/>
        <v>0.33957560120184593</v>
      </c>
      <c r="M43" s="31">
        <f t="shared" si="14"/>
        <v>0.36258586458170888</v>
      </c>
      <c r="N43" s="31">
        <f t="shared" si="14"/>
        <v>0.38220743066718693</v>
      </c>
      <c r="O43" s="31">
        <f t="shared" si="14"/>
        <v>0.39914997265782726</v>
      </c>
      <c r="P43" s="31">
        <f t="shared" si="14"/>
        <v>0.41695395945737523</v>
      </c>
      <c r="Q43" s="31">
        <f t="shared" si="14"/>
        <v>0.43887009919797104</v>
      </c>
      <c r="R43" s="15">
        <f t="shared" si="14"/>
        <v>0.46538907505598481</v>
      </c>
      <c r="U43" s="13">
        <v>60</v>
      </c>
      <c r="V43" s="31">
        <v>0.3171442162942395</v>
      </c>
      <c r="W43" s="31">
        <v>0.33957560120184593</v>
      </c>
      <c r="X43" s="31">
        <v>0.36258586458170888</v>
      </c>
      <c r="Y43" s="31">
        <v>0.38220743066718693</v>
      </c>
      <c r="Z43" s="31">
        <v>0.39914997265782726</v>
      </c>
      <c r="AA43" s="31">
        <v>0.41695395945737523</v>
      </c>
      <c r="AB43" s="31">
        <v>0.43887009919797104</v>
      </c>
      <c r="AC43" s="15">
        <v>0.46538907505598481</v>
      </c>
    </row>
    <row r="44" spans="1:29" x14ac:dyDescent="0.25">
      <c r="A44" s="3" t="s">
        <v>5</v>
      </c>
      <c r="B44" s="21">
        <v>30</v>
      </c>
      <c r="C44" s="25">
        <v>100</v>
      </c>
      <c r="D44" s="3">
        <v>0</v>
      </c>
      <c r="E44" s="3">
        <v>0</v>
      </c>
      <c r="F44" s="4">
        <v>1.1729866078405919</v>
      </c>
      <c r="G44" s="4">
        <v>-2.6190354151983417</v>
      </c>
      <c r="H44" s="4">
        <v>-2.1219550388390358</v>
      </c>
      <c r="J44" s="13">
        <v>70</v>
      </c>
      <c r="K44" s="31">
        <f t="shared" ref="K44:R44" si="15">K17/(K17+K26)</f>
        <v>0.25942233238393669</v>
      </c>
      <c r="L44" s="31">
        <f t="shared" si="15"/>
        <v>0.28106005219045954</v>
      </c>
      <c r="M44" s="31">
        <f t="shared" si="15"/>
        <v>0.30708144848989161</v>
      </c>
      <c r="N44" s="31">
        <f t="shared" si="15"/>
        <v>0.33157647672092327</v>
      </c>
      <c r="O44" s="31">
        <f t="shared" si="15"/>
        <v>0.35356533614950564</v>
      </c>
      <c r="P44" s="31">
        <f t="shared" si="15"/>
        <v>0.3756133860058446</v>
      </c>
      <c r="Q44" s="31">
        <f t="shared" si="15"/>
        <v>0.40069517731841608</v>
      </c>
      <c r="R44" s="15">
        <f t="shared" si="15"/>
        <v>0.42960018594978006</v>
      </c>
      <c r="U44" s="13">
        <v>70</v>
      </c>
      <c r="V44" s="31">
        <v>0.25942233238393669</v>
      </c>
      <c r="W44" s="31">
        <v>0.28106005219045954</v>
      </c>
      <c r="X44" s="31">
        <v>0.30708144848989161</v>
      </c>
      <c r="Y44" s="31">
        <v>0.33157647672092327</v>
      </c>
      <c r="Z44" s="31">
        <v>0.35356533614950564</v>
      </c>
      <c r="AA44" s="31">
        <v>0.3756133860058446</v>
      </c>
      <c r="AB44" s="31">
        <v>0.40069517731841608</v>
      </c>
      <c r="AC44" s="15">
        <v>0.42960018594978006</v>
      </c>
    </row>
    <row r="45" spans="1:29" ht="15.75" thickBot="1" x14ac:dyDescent="0.3">
      <c r="A45" s="3" t="s">
        <v>5</v>
      </c>
      <c r="B45" s="22">
        <v>40</v>
      </c>
      <c r="C45" s="26">
        <v>100</v>
      </c>
      <c r="D45" s="3">
        <v>0</v>
      </c>
      <c r="E45" s="3">
        <v>0</v>
      </c>
      <c r="F45" s="4">
        <v>1.1690172498887108</v>
      </c>
      <c r="G45" s="4">
        <v>-2.4063701372309261</v>
      </c>
      <c r="H45" s="4">
        <v>-2.1175382039980066</v>
      </c>
      <c r="J45" s="16">
        <v>80</v>
      </c>
      <c r="K45" s="17">
        <f t="shared" ref="K45:R45" si="16">K18/(K18+K27)</f>
        <v>0.21985192926489588</v>
      </c>
      <c r="L45" s="17">
        <f t="shared" si="16"/>
        <v>0.23018340079593147</v>
      </c>
      <c r="M45" s="17">
        <f t="shared" si="16"/>
        <v>0.25015503376743098</v>
      </c>
      <c r="N45" s="17">
        <f t="shared" si="16"/>
        <v>0.27395363548267931</v>
      </c>
      <c r="O45" s="17">
        <f t="shared" si="16"/>
        <v>0.29893577263907045</v>
      </c>
      <c r="P45" s="17">
        <f t="shared" si="16"/>
        <v>0.32551962339826307</v>
      </c>
      <c r="Q45" s="17">
        <f t="shared" si="16"/>
        <v>0.35495777377993359</v>
      </c>
      <c r="R45" s="18">
        <f t="shared" si="16"/>
        <v>0.38718545614215549</v>
      </c>
      <c r="U45" s="16">
        <v>80</v>
      </c>
      <c r="V45" s="17">
        <v>0.21985192926489588</v>
      </c>
      <c r="W45" s="17">
        <v>0.23018340079593147</v>
      </c>
      <c r="X45" s="17">
        <v>0.25015503376743098</v>
      </c>
      <c r="Y45" s="17">
        <v>0.27395363548267931</v>
      </c>
      <c r="Z45" s="17">
        <v>0.29893577263907045</v>
      </c>
      <c r="AA45" s="17">
        <v>0.32551962339826307</v>
      </c>
      <c r="AB45" s="17">
        <v>0.35495777377993359</v>
      </c>
      <c r="AC45" s="18">
        <v>0.38718545614215549</v>
      </c>
    </row>
    <row r="46" spans="1:29" x14ac:dyDescent="0.25">
      <c r="A46" s="3" t="s">
        <v>5</v>
      </c>
      <c r="B46" s="22">
        <v>50</v>
      </c>
      <c r="C46" s="26">
        <v>100</v>
      </c>
      <c r="D46" s="3">
        <v>0</v>
      </c>
      <c r="E46" s="3">
        <v>0</v>
      </c>
      <c r="F46" s="4">
        <v>1.1664074279313505</v>
      </c>
      <c r="G46" s="4">
        <v>-2.1136784868145337</v>
      </c>
      <c r="H46" s="4">
        <v>-2.1178714693982963</v>
      </c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3" t="s">
        <v>5</v>
      </c>
      <c r="B47" s="22">
        <v>60</v>
      </c>
      <c r="C47" s="26">
        <v>100</v>
      </c>
      <c r="D47" s="3">
        <v>0</v>
      </c>
      <c r="E47" s="3">
        <v>0</v>
      </c>
      <c r="F47" s="4">
        <v>1.1655957661480603</v>
      </c>
      <c r="G47" s="4">
        <v>-1.8317439123739139</v>
      </c>
      <c r="H47" s="4">
        <v>-2.1041970251170681</v>
      </c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3" t="s">
        <v>5</v>
      </c>
      <c r="B48" s="22">
        <v>70</v>
      </c>
      <c r="C48" s="26">
        <v>100</v>
      </c>
      <c r="D48" s="3">
        <v>0</v>
      </c>
      <c r="E48" s="3">
        <v>0</v>
      </c>
      <c r="F48" s="4">
        <v>1.1625658789128033</v>
      </c>
      <c r="G48" s="4">
        <v>-1.5693854789622712</v>
      </c>
      <c r="H48" s="4">
        <v>-2.0837448740719129</v>
      </c>
      <c r="V48" s="1"/>
      <c r="W48" s="1"/>
      <c r="X48" s="1"/>
      <c r="Y48" s="1"/>
      <c r="Z48" s="1"/>
      <c r="AA48" s="1"/>
      <c r="AB48" s="1"/>
      <c r="AC48" s="1"/>
    </row>
    <row r="49" spans="1:29" ht="15.75" thickBot="1" x14ac:dyDescent="0.3">
      <c r="A49" s="3" t="s">
        <v>5</v>
      </c>
      <c r="B49" s="23">
        <v>80</v>
      </c>
      <c r="C49" s="27">
        <v>100</v>
      </c>
      <c r="D49" s="3">
        <v>0</v>
      </c>
      <c r="E49" s="3">
        <v>0</v>
      </c>
      <c r="F49" s="4">
        <v>1.1542953268031488</v>
      </c>
      <c r="G49" s="4">
        <v>-1.3150460653106293</v>
      </c>
      <c r="H49" s="4">
        <v>-2.0813781661507118</v>
      </c>
      <c r="J49" s="28" t="s">
        <v>14</v>
      </c>
      <c r="K49" s="19" t="s">
        <v>15</v>
      </c>
      <c r="U49" s="28" t="s">
        <v>14</v>
      </c>
      <c r="V49" s="19" t="s">
        <v>15</v>
      </c>
      <c r="W49" s="1"/>
      <c r="X49" s="1"/>
      <c r="Y49" s="1"/>
      <c r="Z49" s="1"/>
      <c r="AA49" s="1"/>
      <c r="AB49" s="1"/>
      <c r="AC49" s="1"/>
    </row>
    <row r="50" spans="1:29" x14ac:dyDescent="0.25">
      <c r="A50" t="s">
        <v>5</v>
      </c>
      <c r="B50" s="24">
        <v>30</v>
      </c>
      <c r="C50" s="20">
        <v>30</v>
      </c>
      <c r="D50">
        <v>0</v>
      </c>
      <c r="E50">
        <v>3</v>
      </c>
      <c r="F50" s="1">
        <v>1.0296632258292395</v>
      </c>
      <c r="G50" s="1">
        <v>-1.8141826422612177</v>
      </c>
      <c r="H50" s="1">
        <v>-2.0542248987643328</v>
      </c>
      <c r="J50" s="5" t="s">
        <v>9</v>
      </c>
      <c r="K50" s="6" t="s">
        <v>10</v>
      </c>
      <c r="L50" s="7"/>
      <c r="M50" s="8"/>
      <c r="N50" s="8"/>
      <c r="O50" s="8"/>
      <c r="P50" s="8"/>
      <c r="Q50" s="8"/>
      <c r="R50" s="9"/>
      <c r="U50" s="5" t="s">
        <v>9</v>
      </c>
      <c r="V50" s="6" t="s">
        <v>10</v>
      </c>
      <c r="W50" s="7"/>
      <c r="X50" s="8"/>
      <c r="Y50" s="8"/>
      <c r="Z50" s="8"/>
      <c r="AA50" s="8"/>
      <c r="AB50" s="8"/>
      <c r="AC50" s="9"/>
    </row>
    <row r="51" spans="1:29" x14ac:dyDescent="0.25">
      <c r="A51" t="s">
        <v>5</v>
      </c>
      <c r="B51" s="24">
        <v>40</v>
      </c>
      <c r="C51" s="20">
        <v>30</v>
      </c>
      <c r="D51">
        <v>0</v>
      </c>
      <c r="E51">
        <v>3</v>
      </c>
      <c r="F51" s="1">
        <v>1.0272302047438766</v>
      </c>
      <c r="G51" s="1">
        <v>-1.5210326583731817</v>
      </c>
      <c r="H51" s="1">
        <v>-2.0453316093111118</v>
      </c>
      <c r="J51" s="10" t="s">
        <v>11</v>
      </c>
      <c r="K51" s="11">
        <v>30</v>
      </c>
      <c r="L51" s="11">
        <v>40</v>
      </c>
      <c r="M51" s="11">
        <v>50</v>
      </c>
      <c r="N51" s="11">
        <v>60</v>
      </c>
      <c r="O51" s="11">
        <v>70</v>
      </c>
      <c r="P51" s="11">
        <v>80</v>
      </c>
      <c r="Q51" s="11">
        <v>90</v>
      </c>
      <c r="R51" s="12">
        <v>100</v>
      </c>
      <c r="U51" s="10" t="s">
        <v>11</v>
      </c>
      <c r="V51" s="11">
        <v>30</v>
      </c>
      <c r="W51" s="11">
        <v>40</v>
      </c>
      <c r="X51" s="11">
        <v>50</v>
      </c>
      <c r="Y51" s="11">
        <v>60</v>
      </c>
      <c r="Z51" s="11">
        <v>70</v>
      </c>
      <c r="AA51" s="11">
        <v>80</v>
      </c>
      <c r="AB51" s="11">
        <v>90</v>
      </c>
      <c r="AC51" s="12">
        <v>100</v>
      </c>
    </row>
    <row r="52" spans="1:29" x14ac:dyDescent="0.25">
      <c r="A52" t="s">
        <v>5</v>
      </c>
      <c r="B52" s="24">
        <v>50</v>
      </c>
      <c r="C52" s="20">
        <v>30</v>
      </c>
      <c r="D52">
        <v>0</v>
      </c>
      <c r="E52">
        <v>3</v>
      </c>
      <c r="F52" s="1">
        <v>1.0281968005863531</v>
      </c>
      <c r="G52" s="1">
        <v>-1.2360015309493926</v>
      </c>
      <c r="H52" s="1">
        <v>-2.0811022039196709</v>
      </c>
      <c r="J52" s="13">
        <v>30</v>
      </c>
      <c r="K52" s="14">
        <f>F50</f>
        <v>1.0296632258292395</v>
      </c>
      <c r="L52" s="14">
        <f>F56</f>
        <v>1.0487150005675361</v>
      </c>
      <c r="M52" s="14">
        <f>F62</f>
        <v>1.0716378640892223</v>
      </c>
      <c r="N52" s="14">
        <f>F68</f>
        <v>1.0952398797505292</v>
      </c>
      <c r="O52" s="14">
        <f>F74</f>
        <v>1.1170762825885832</v>
      </c>
      <c r="P52" s="14">
        <f>F80</f>
        <v>1.1360571039912339</v>
      </c>
      <c r="Q52" s="14">
        <f>F86</f>
        <v>1.1519173783495864</v>
      </c>
      <c r="R52" s="15">
        <f>F92</f>
        <v>1.1640954838962063</v>
      </c>
      <c r="U52" s="13">
        <v>30</v>
      </c>
      <c r="V52" s="14">
        <v>1.0296632258292395</v>
      </c>
      <c r="W52" s="14">
        <v>1.0487150005675361</v>
      </c>
      <c r="X52" s="14">
        <v>1.0716378640892223</v>
      </c>
      <c r="Y52" s="14">
        <v>1.0952398797505292</v>
      </c>
      <c r="Z52" s="14">
        <v>1.1170762825885832</v>
      </c>
      <c r="AA52" s="14">
        <v>1.1360571039912339</v>
      </c>
      <c r="AB52" s="14">
        <v>1.1519173783495864</v>
      </c>
      <c r="AC52" s="15">
        <v>1.1640954838962063</v>
      </c>
    </row>
    <row r="53" spans="1:29" x14ac:dyDescent="0.25">
      <c r="A53" t="s">
        <v>5</v>
      </c>
      <c r="B53" s="24">
        <v>60</v>
      </c>
      <c r="C53" s="20">
        <v>30</v>
      </c>
      <c r="D53">
        <v>0</v>
      </c>
      <c r="E53">
        <v>3</v>
      </c>
      <c r="F53" s="1">
        <v>1.0289958843557814</v>
      </c>
      <c r="G53" s="1">
        <v>-0.97336059040377254</v>
      </c>
      <c r="H53" s="1">
        <v>-2.1342848387219862</v>
      </c>
      <c r="J53" s="13">
        <v>40</v>
      </c>
      <c r="K53" s="14">
        <f>F51</f>
        <v>1.0272302047438766</v>
      </c>
      <c r="L53" s="14">
        <f>F57</f>
        <v>1.0479028084735442</v>
      </c>
      <c r="M53" s="14">
        <f>F63</f>
        <v>1.070481836215029</v>
      </c>
      <c r="N53" s="14">
        <f t="shared" ref="N53:N56" si="17">F69</f>
        <v>1.0920824230543509</v>
      </c>
      <c r="O53" s="14">
        <f>F75</f>
        <v>1.1114511080955771</v>
      </c>
      <c r="P53" s="14">
        <f>F81</f>
        <v>1.1289298262644087</v>
      </c>
      <c r="Q53" s="14">
        <f>F87</f>
        <v>1.1451612205380644</v>
      </c>
      <c r="R53" s="15">
        <f>F93</f>
        <v>1.1595511650333048</v>
      </c>
      <c r="U53" s="13">
        <v>40</v>
      </c>
      <c r="V53" s="14">
        <v>1.0272302047438766</v>
      </c>
      <c r="W53" s="14">
        <v>1.0479028084735442</v>
      </c>
      <c r="X53" s="14">
        <v>1.070481836215029</v>
      </c>
      <c r="Y53" s="14">
        <v>1.0920824230543509</v>
      </c>
      <c r="Z53" s="14">
        <v>1.1114511080955771</v>
      </c>
      <c r="AA53" s="14">
        <v>1.1289298262644087</v>
      </c>
      <c r="AB53" s="14">
        <v>1.1451612205380644</v>
      </c>
      <c r="AC53" s="15">
        <v>1.1595511650333048</v>
      </c>
    </row>
    <row r="54" spans="1:29" x14ac:dyDescent="0.25">
      <c r="A54" t="s">
        <v>5</v>
      </c>
      <c r="B54" s="24">
        <v>70</v>
      </c>
      <c r="C54" s="20">
        <v>30</v>
      </c>
      <c r="D54">
        <v>0</v>
      </c>
      <c r="E54">
        <v>3</v>
      </c>
      <c r="F54" s="1">
        <v>1.0280486752241074</v>
      </c>
      <c r="G54" s="1">
        <v>-0.7472290844482381</v>
      </c>
      <c r="H54" s="1">
        <v>-2.1603368823510687</v>
      </c>
      <c r="J54" s="13">
        <v>50</v>
      </c>
      <c r="K54" s="14">
        <f>F52</f>
        <v>1.0281968005863531</v>
      </c>
      <c r="L54" s="14">
        <f>F58</f>
        <v>1.0503735093354551</v>
      </c>
      <c r="M54" s="14">
        <f>F64</f>
        <v>1.0730621761867611</v>
      </c>
      <c r="N54" s="14">
        <f t="shared" si="17"/>
        <v>1.093617959161773</v>
      </c>
      <c r="O54" s="14">
        <f>F76</f>
        <v>1.1114516166276389</v>
      </c>
      <c r="P54" s="14">
        <f>F82</f>
        <v>1.1275455105213876</v>
      </c>
      <c r="Q54" s="14">
        <f>F88</f>
        <v>1.142823383525766</v>
      </c>
      <c r="R54" s="15">
        <f>F94</f>
        <v>1.1566042645929782</v>
      </c>
      <c r="U54" s="13">
        <v>50</v>
      </c>
      <c r="V54" s="14">
        <v>1.0281968005863531</v>
      </c>
      <c r="W54" s="14">
        <v>1.0503735093354551</v>
      </c>
      <c r="X54" s="14">
        <v>1.0730621761867611</v>
      </c>
      <c r="Y54" s="14">
        <v>1.093617959161773</v>
      </c>
      <c r="Z54" s="14">
        <v>1.1114516166276389</v>
      </c>
      <c r="AA54" s="14">
        <v>1.1275455105213876</v>
      </c>
      <c r="AB54" s="14">
        <v>1.142823383525766</v>
      </c>
      <c r="AC54" s="15">
        <v>1.1566042645929782</v>
      </c>
    </row>
    <row r="55" spans="1:29" x14ac:dyDescent="0.25">
      <c r="A55" t="s">
        <v>5</v>
      </c>
      <c r="B55" s="24">
        <v>80</v>
      </c>
      <c r="C55" s="20">
        <v>30</v>
      </c>
      <c r="D55">
        <v>0</v>
      </c>
      <c r="E55">
        <v>3</v>
      </c>
      <c r="F55" s="1">
        <v>1.0278168683869597</v>
      </c>
      <c r="G55" s="1">
        <v>-0.60667303777060044</v>
      </c>
      <c r="H55" s="1">
        <v>-2.1386551941806222</v>
      </c>
      <c r="J55" s="13">
        <v>60</v>
      </c>
      <c r="K55" s="14">
        <f>F53</f>
        <v>1.0289958843557814</v>
      </c>
      <c r="L55" s="14">
        <f>F59</f>
        <v>1.0511127763151202</v>
      </c>
      <c r="M55" s="14">
        <f>F65</f>
        <v>1.0736895632803862</v>
      </c>
      <c r="N55" s="14">
        <f t="shared" si="17"/>
        <v>1.0943240862975117</v>
      </c>
      <c r="O55" s="14">
        <f>F77</f>
        <v>1.1124134816080067</v>
      </c>
      <c r="P55" s="14">
        <f>F83</f>
        <v>1.1285537189579236</v>
      </c>
      <c r="Q55" s="14">
        <f>F89</f>
        <v>1.1431133409082883</v>
      </c>
      <c r="R55" s="15">
        <f>F95</f>
        <v>1.1551005663028142</v>
      </c>
      <c r="U55" s="13">
        <v>60</v>
      </c>
      <c r="V55" s="14">
        <v>1.0289958843557814</v>
      </c>
      <c r="W55" s="14">
        <v>1.0511127763151202</v>
      </c>
      <c r="X55" s="14">
        <v>1.0736895632803862</v>
      </c>
      <c r="Y55" s="14">
        <v>1.0943240862975117</v>
      </c>
      <c r="Z55" s="14">
        <v>1.1124134816080067</v>
      </c>
      <c r="AA55" s="14">
        <v>1.1285537189579236</v>
      </c>
      <c r="AB55" s="14">
        <v>1.1431133409082883</v>
      </c>
      <c r="AC55" s="15">
        <v>1.1551005663028142</v>
      </c>
    </row>
    <row r="56" spans="1:29" x14ac:dyDescent="0.25">
      <c r="A56" t="s">
        <v>5</v>
      </c>
      <c r="B56" s="24">
        <v>30</v>
      </c>
      <c r="C56" s="20">
        <v>40</v>
      </c>
      <c r="D56">
        <v>0</v>
      </c>
      <c r="E56">
        <v>3</v>
      </c>
      <c r="F56" s="1">
        <v>1.0487150005675361</v>
      </c>
      <c r="G56" s="1">
        <v>-1.9783537960112629</v>
      </c>
      <c r="H56" s="1">
        <v>-2.0949622533948156</v>
      </c>
      <c r="J56" s="13">
        <v>70</v>
      </c>
      <c r="K56" s="14">
        <f>F54</f>
        <v>1.0280486752241074</v>
      </c>
      <c r="L56" s="14">
        <f>F60</f>
        <v>1.0475572265335269</v>
      </c>
      <c r="M56" s="14">
        <f>F66</f>
        <v>1.0685786520901344</v>
      </c>
      <c r="N56" s="14">
        <f t="shared" si="17"/>
        <v>1.0891430596443388</v>
      </c>
      <c r="O56" s="14">
        <f>F78</f>
        <v>1.1083272466620619</v>
      </c>
      <c r="P56" s="14">
        <f>F84</f>
        <v>1.1257667044592239</v>
      </c>
      <c r="Q56" s="14">
        <f>F90</f>
        <v>1.1407539525003885</v>
      </c>
      <c r="R56" s="15">
        <f>F96</f>
        <v>1.1517283199477304</v>
      </c>
      <c r="U56" s="13">
        <v>70</v>
      </c>
      <c r="V56" s="14">
        <v>1.0280486752241074</v>
      </c>
      <c r="W56" s="14">
        <v>1.0475572265335269</v>
      </c>
      <c r="X56" s="14">
        <v>1.0685786520901344</v>
      </c>
      <c r="Y56" s="14">
        <v>1.0891430596443388</v>
      </c>
      <c r="Z56" s="14">
        <v>1.1083272466620619</v>
      </c>
      <c r="AA56" s="14">
        <v>1.1257667044592239</v>
      </c>
      <c r="AB56" s="14">
        <v>1.1407539525003885</v>
      </c>
      <c r="AC56" s="15">
        <v>1.1517283199477304</v>
      </c>
    </row>
    <row r="57" spans="1:29" ht="15.75" thickBot="1" x14ac:dyDescent="0.3">
      <c r="A57" t="s">
        <v>5</v>
      </c>
      <c r="B57" s="24">
        <v>40</v>
      </c>
      <c r="C57" s="20">
        <v>40</v>
      </c>
      <c r="D57">
        <v>0</v>
      </c>
      <c r="E57">
        <v>3</v>
      </c>
      <c r="F57" s="1">
        <v>1.0479028084735442</v>
      </c>
      <c r="G57" s="1">
        <v>-1.6657222437246957</v>
      </c>
      <c r="H57" s="1">
        <v>-2.0860655984959369</v>
      </c>
      <c r="J57" s="16">
        <v>80</v>
      </c>
      <c r="K57" s="17">
        <f>F55</f>
        <v>1.0278168683869597</v>
      </c>
      <c r="L57" s="17">
        <f>F61</f>
        <v>1.0428990586604063</v>
      </c>
      <c r="M57" s="17">
        <f>F67</f>
        <v>1.0607063966831007</v>
      </c>
      <c r="N57" s="17">
        <f>F73</f>
        <v>1.0799026444730375</v>
      </c>
      <c r="O57" s="17">
        <f>F79</f>
        <v>1.0993683728461956</v>
      </c>
      <c r="P57" s="17">
        <f>F85</f>
        <v>1.1178713507246241</v>
      </c>
      <c r="Q57" s="17">
        <f>F91</f>
        <v>1.1336887225611685</v>
      </c>
      <c r="R57" s="18">
        <f>F97</f>
        <v>1.1446561742939294</v>
      </c>
      <c r="U57" s="16">
        <v>80</v>
      </c>
      <c r="V57" s="17">
        <v>1.0278168683869597</v>
      </c>
      <c r="W57" s="17">
        <v>1.0428990586604063</v>
      </c>
      <c r="X57" s="17">
        <v>1.0607063966831007</v>
      </c>
      <c r="Y57" s="17">
        <v>1.0799026444730375</v>
      </c>
      <c r="Z57" s="17">
        <v>1.0993683728461956</v>
      </c>
      <c r="AA57" s="17">
        <v>1.1178713507246241</v>
      </c>
      <c r="AB57" s="17">
        <v>1.1336887225611685</v>
      </c>
      <c r="AC57" s="18">
        <v>1.1446561742939294</v>
      </c>
    </row>
    <row r="58" spans="1:29" ht="15.75" thickBot="1" x14ac:dyDescent="0.3">
      <c r="A58" t="s">
        <v>5</v>
      </c>
      <c r="B58" s="24">
        <v>50</v>
      </c>
      <c r="C58" s="20">
        <v>40</v>
      </c>
      <c r="D58">
        <v>0</v>
      </c>
      <c r="E58">
        <v>3</v>
      </c>
      <c r="F58" s="1">
        <v>1.0503735093354551</v>
      </c>
      <c r="G58" s="1">
        <v>-1.3693700380800857</v>
      </c>
      <c r="H58" s="1">
        <v>-2.1200628257918144</v>
      </c>
    </row>
    <row r="59" spans="1:29" x14ac:dyDescent="0.25">
      <c r="A59" t="s">
        <v>5</v>
      </c>
      <c r="B59" s="24">
        <v>60</v>
      </c>
      <c r="C59" s="20">
        <v>40</v>
      </c>
      <c r="D59">
        <v>0</v>
      </c>
      <c r="E59">
        <v>3</v>
      </c>
      <c r="F59" s="1">
        <v>1.0511127763151202</v>
      </c>
      <c r="G59" s="1">
        <v>-1.0964959119538975</v>
      </c>
      <c r="H59" s="1">
        <v>-2.1642855385678312</v>
      </c>
      <c r="J59" s="5" t="s">
        <v>12</v>
      </c>
      <c r="K59" s="6" t="s">
        <v>10</v>
      </c>
      <c r="L59" s="7"/>
      <c r="M59" s="8"/>
      <c r="N59" s="8"/>
      <c r="O59" s="8"/>
      <c r="P59" s="8"/>
      <c r="Q59" s="8"/>
      <c r="R59" s="9"/>
      <c r="U59" s="5" t="s">
        <v>12</v>
      </c>
      <c r="V59" s="6" t="s">
        <v>10</v>
      </c>
      <c r="W59" s="7"/>
      <c r="X59" s="8"/>
      <c r="Y59" s="8"/>
      <c r="Z59" s="8"/>
      <c r="AA59" s="8"/>
      <c r="AB59" s="8"/>
      <c r="AC59" s="9"/>
    </row>
    <row r="60" spans="1:29" x14ac:dyDescent="0.25">
      <c r="A60" t="s">
        <v>5</v>
      </c>
      <c r="B60" s="24">
        <v>70</v>
      </c>
      <c r="C60" s="20">
        <v>40</v>
      </c>
      <c r="D60">
        <v>0</v>
      </c>
      <c r="E60">
        <v>3</v>
      </c>
      <c r="F60" s="1">
        <v>1.0475572265335269</v>
      </c>
      <c r="G60" s="1">
        <v>-0.84062009170941154</v>
      </c>
      <c r="H60" s="1">
        <v>-2.1774885136940401</v>
      </c>
      <c r="J60" s="10" t="s">
        <v>11</v>
      </c>
      <c r="K60" s="11">
        <v>30</v>
      </c>
      <c r="L60" s="11">
        <v>40</v>
      </c>
      <c r="M60" s="11">
        <v>50</v>
      </c>
      <c r="N60" s="11">
        <v>60</v>
      </c>
      <c r="O60" s="11">
        <v>70</v>
      </c>
      <c r="P60" s="11">
        <v>80</v>
      </c>
      <c r="Q60" s="11">
        <v>90</v>
      </c>
      <c r="R60" s="12">
        <v>100</v>
      </c>
      <c r="U60" s="10" t="s">
        <v>11</v>
      </c>
      <c r="V60" s="11">
        <v>30</v>
      </c>
      <c r="W60" s="11">
        <v>40</v>
      </c>
      <c r="X60" s="11">
        <v>50</v>
      </c>
      <c r="Y60" s="11">
        <v>60</v>
      </c>
      <c r="Z60" s="11">
        <v>70</v>
      </c>
      <c r="AA60" s="11">
        <v>80</v>
      </c>
      <c r="AB60" s="11">
        <v>90</v>
      </c>
      <c r="AC60" s="12">
        <v>100</v>
      </c>
    </row>
    <row r="61" spans="1:29" x14ac:dyDescent="0.25">
      <c r="A61" t="s">
        <v>5</v>
      </c>
      <c r="B61" s="24">
        <v>80</v>
      </c>
      <c r="C61" s="20">
        <v>40</v>
      </c>
      <c r="D61">
        <v>0</v>
      </c>
      <c r="E61">
        <v>3</v>
      </c>
      <c r="F61" s="1">
        <v>1.0428990586604063</v>
      </c>
      <c r="G61" s="1">
        <v>-0.64398918147300632</v>
      </c>
      <c r="H61" s="1">
        <v>-2.1487150402495616</v>
      </c>
      <c r="J61" s="13">
        <v>30</v>
      </c>
      <c r="K61" s="14">
        <f>G50</f>
        <v>-1.8141826422612177</v>
      </c>
      <c r="L61" s="14">
        <f>G56</f>
        <v>-1.9783537960112629</v>
      </c>
      <c r="M61" s="14">
        <f>G62</f>
        <v>-2.141898647872539</v>
      </c>
      <c r="N61" s="14">
        <f>G68</f>
        <v>-2.2899134339544731</v>
      </c>
      <c r="O61" s="14">
        <f>G74</f>
        <v>-2.4157299254962648</v>
      </c>
      <c r="P61" s="14">
        <f>G80</f>
        <v>-2.518814539591983</v>
      </c>
      <c r="Q61" s="14">
        <f>G86</f>
        <v>-2.5973465405880365</v>
      </c>
      <c r="R61" s="15">
        <f>G92</f>
        <v>-2.641968672748197</v>
      </c>
      <c r="U61" s="13">
        <v>30</v>
      </c>
      <c r="V61" s="14">
        <v>1.8141826422612177</v>
      </c>
      <c r="W61" s="14">
        <v>1.9783537960112629</v>
      </c>
      <c r="X61" s="14">
        <v>2.141898647872539</v>
      </c>
      <c r="Y61" s="14">
        <v>2.2899134339544731</v>
      </c>
      <c r="Z61" s="14">
        <v>2.4157299254962648</v>
      </c>
      <c r="AA61" s="14">
        <v>2.518814539591983</v>
      </c>
      <c r="AB61" s="14">
        <v>2.5973465405880365</v>
      </c>
      <c r="AC61" s="15">
        <v>2.641968672748197</v>
      </c>
    </row>
    <row r="62" spans="1:29" x14ac:dyDescent="0.25">
      <c r="A62" t="s">
        <v>5</v>
      </c>
      <c r="B62" s="24">
        <v>30</v>
      </c>
      <c r="C62" s="20">
        <v>50</v>
      </c>
      <c r="D62">
        <v>0</v>
      </c>
      <c r="E62">
        <v>3</v>
      </c>
      <c r="F62" s="1">
        <v>1.0716378640892223</v>
      </c>
      <c r="G62" s="1">
        <v>-2.141898647872539</v>
      </c>
      <c r="H62" s="1">
        <v>-2.1448336982612632</v>
      </c>
      <c r="J62" s="13">
        <v>40</v>
      </c>
      <c r="K62" s="14">
        <f t="shared" ref="K62:K66" si="18">G51</f>
        <v>-1.5210326583731817</v>
      </c>
      <c r="L62" s="14">
        <f t="shared" ref="L62:L66" si="19">G57</f>
        <v>-1.6657222437246957</v>
      </c>
      <c r="M62" s="14">
        <f>G63</f>
        <v>-1.819130317084928</v>
      </c>
      <c r="N62" s="14">
        <f>G69</f>
        <v>-1.9664530263702273</v>
      </c>
      <c r="O62" s="14">
        <f t="shared" ref="O62:O66" si="20">G75</f>
        <v>-2.1021540550060838</v>
      </c>
      <c r="P62" s="14">
        <f t="shared" ref="P62:P66" si="21">G81</f>
        <v>-2.226951812147421</v>
      </c>
      <c r="Q62" s="14">
        <f>G87</f>
        <v>-2.3386713227564573</v>
      </c>
      <c r="R62" s="15">
        <f>G93</f>
        <v>-2.4249324560015739</v>
      </c>
      <c r="U62" s="13">
        <v>40</v>
      </c>
      <c r="V62" s="14">
        <v>1.5210326583731817</v>
      </c>
      <c r="W62" s="14">
        <v>1.6657222437246957</v>
      </c>
      <c r="X62" s="14">
        <v>1.819130317084928</v>
      </c>
      <c r="Y62" s="14">
        <v>1.9664530263702273</v>
      </c>
      <c r="Z62" s="14">
        <v>2.1021540550060838</v>
      </c>
      <c r="AA62" s="14">
        <v>2.226951812147421</v>
      </c>
      <c r="AB62" s="14">
        <v>2.3386713227564573</v>
      </c>
      <c r="AC62" s="15">
        <v>2.4249324560015739</v>
      </c>
    </row>
    <row r="63" spans="1:29" x14ac:dyDescent="0.25">
      <c r="A63" t="s">
        <v>5</v>
      </c>
      <c r="B63" s="24">
        <v>40</v>
      </c>
      <c r="C63" s="20">
        <v>50</v>
      </c>
      <c r="D63">
        <v>0</v>
      </c>
      <c r="E63">
        <v>3</v>
      </c>
      <c r="F63" s="1">
        <v>1.070481836215029</v>
      </c>
      <c r="G63" s="1">
        <v>-1.819130317084928</v>
      </c>
      <c r="H63" s="1">
        <v>-2.1395045092084204</v>
      </c>
      <c r="J63" s="13">
        <v>50</v>
      </c>
      <c r="K63" s="14">
        <f t="shared" si="18"/>
        <v>-1.2360015309493926</v>
      </c>
      <c r="L63" s="14">
        <f t="shared" si="19"/>
        <v>-1.3693700380800857</v>
      </c>
      <c r="M63" s="14">
        <f>G64</f>
        <v>-1.5183579758499153</v>
      </c>
      <c r="N63" s="14">
        <f>G70</f>
        <v>-1.6637893531250556</v>
      </c>
      <c r="O63" s="14">
        <f t="shared" si="20"/>
        <v>-1.7972881760168722</v>
      </c>
      <c r="P63" s="14">
        <f t="shared" si="21"/>
        <v>-1.9194019539494953</v>
      </c>
      <c r="Q63" s="14">
        <f>G88</f>
        <v>-2.0302539243445095</v>
      </c>
      <c r="R63" s="15">
        <f>G94</f>
        <v>-2.1211071130155021</v>
      </c>
      <c r="U63" s="13">
        <v>50</v>
      </c>
      <c r="V63" s="14">
        <v>1.2360015309493926</v>
      </c>
      <c r="W63" s="14">
        <v>1.3693700380800857</v>
      </c>
      <c r="X63" s="14">
        <v>1.5183579758499153</v>
      </c>
      <c r="Y63" s="14">
        <v>1.6637893531250556</v>
      </c>
      <c r="Z63" s="14">
        <v>1.7972881760168722</v>
      </c>
      <c r="AA63" s="14">
        <v>1.9194019539494953</v>
      </c>
      <c r="AB63" s="14">
        <v>2.0302539243445095</v>
      </c>
      <c r="AC63" s="15">
        <v>2.1211071130155021</v>
      </c>
    </row>
    <row r="64" spans="1:29" x14ac:dyDescent="0.25">
      <c r="A64" t="s">
        <v>5</v>
      </c>
      <c r="B64" s="24">
        <v>50</v>
      </c>
      <c r="C64" s="20">
        <v>50</v>
      </c>
      <c r="D64">
        <v>0</v>
      </c>
      <c r="E64">
        <v>3</v>
      </c>
      <c r="F64" s="1">
        <v>1.0730621761867611</v>
      </c>
      <c r="G64" s="1">
        <v>-1.5183579758499153</v>
      </c>
      <c r="H64" s="1">
        <v>-2.1723410743858294</v>
      </c>
      <c r="J64" s="13">
        <v>60</v>
      </c>
      <c r="K64" s="14">
        <f t="shared" si="18"/>
        <v>-0.97336059040377254</v>
      </c>
      <c r="L64" s="14">
        <f t="shared" si="19"/>
        <v>-1.0964959119538975</v>
      </c>
      <c r="M64" s="14">
        <f>G65</f>
        <v>-1.2448043648170686</v>
      </c>
      <c r="N64" s="14">
        <f>G71</f>
        <v>-1.3937433468489131</v>
      </c>
      <c r="O64" s="14">
        <f t="shared" si="20"/>
        <v>-1.5290114104475341</v>
      </c>
      <c r="P64" s="14">
        <f t="shared" si="21"/>
        <v>-1.6471358811481602</v>
      </c>
      <c r="Q64" s="14">
        <f>G89</f>
        <v>-1.7481002426502283</v>
      </c>
      <c r="R64" s="15">
        <f>G95</f>
        <v>-1.8274609226062206</v>
      </c>
      <c r="U64" s="13">
        <v>60</v>
      </c>
      <c r="V64" s="14">
        <v>0.97336059040377254</v>
      </c>
      <c r="W64" s="14">
        <v>1.0964959119538975</v>
      </c>
      <c r="X64" s="14">
        <v>1.2448043648170686</v>
      </c>
      <c r="Y64" s="14">
        <v>1.3937433468489131</v>
      </c>
      <c r="Z64" s="14">
        <v>1.5290114104475341</v>
      </c>
      <c r="AA64" s="14">
        <v>1.6471358811481602</v>
      </c>
      <c r="AB64" s="14">
        <v>1.7481002426502283</v>
      </c>
      <c r="AC64" s="15">
        <v>1.8274609226062206</v>
      </c>
    </row>
    <row r="65" spans="1:29" x14ac:dyDescent="0.25">
      <c r="A65" t="s">
        <v>5</v>
      </c>
      <c r="B65" s="24">
        <v>60</v>
      </c>
      <c r="C65" s="20">
        <v>50</v>
      </c>
      <c r="D65">
        <v>0</v>
      </c>
      <c r="E65">
        <v>3</v>
      </c>
      <c r="F65" s="1">
        <v>1.0736895632803862</v>
      </c>
      <c r="G65" s="1">
        <v>-1.2448043648170686</v>
      </c>
      <c r="H65" s="1">
        <v>-2.20613644371356</v>
      </c>
      <c r="J65" s="13">
        <v>70</v>
      </c>
      <c r="K65" s="14">
        <f t="shared" si="18"/>
        <v>-0.7472290844482381</v>
      </c>
      <c r="L65" s="14">
        <f t="shared" si="19"/>
        <v>-0.84062009170941154</v>
      </c>
      <c r="M65" s="14">
        <f>G66</f>
        <v>-0.9711563007892543</v>
      </c>
      <c r="N65" s="14">
        <f>G72</f>
        <v>-1.1142807893570441</v>
      </c>
      <c r="O65" s="14">
        <f t="shared" si="20"/>
        <v>-1.2519677988900111</v>
      </c>
      <c r="P65" s="14">
        <f t="shared" si="21"/>
        <v>-1.3750152273040617</v>
      </c>
      <c r="Q65" s="14">
        <f>G90</f>
        <v>-1.4788255984762939</v>
      </c>
      <c r="R65" s="15">
        <f>G96</f>
        <v>-1.5583400967124856</v>
      </c>
      <c r="U65" s="13">
        <v>70</v>
      </c>
      <c r="V65" s="14">
        <v>0.7472290844482381</v>
      </c>
      <c r="W65" s="14">
        <v>0.84062009170941154</v>
      </c>
      <c r="X65" s="14">
        <v>0.9711563007892543</v>
      </c>
      <c r="Y65" s="14">
        <v>1.1142807893570441</v>
      </c>
      <c r="Z65" s="14">
        <v>1.2519677988900111</v>
      </c>
      <c r="AA65" s="14">
        <v>1.3750152273040617</v>
      </c>
      <c r="AB65" s="14">
        <v>1.4788255984762939</v>
      </c>
      <c r="AC65" s="15">
        <v>1.5583400967124856</v>
      </c>
    </row>
    <row r="66" spans="1:29" ht="15.75" thickBot="1" x14ac:dyDescent="0.3">
      <c r="A66" t="s">
        <v>5</v>
      </c>
      <c r="B66" s="24">
        <v>70</v>
      </c>
      <c r="C66" s="20">
        <v>50</v>
      </c>
      <c r="D66">
        <v>0</v>
      </c>
      <c r="E66">
        <v>3</v>
      </c>
      <c r="F66" s="1">
        <v>1.0685786520901344</v>
      </c>
      <c r="G66" s="1">
        <v>-0.9711563007892543</v>
      </c>
      <c r="H66" s="1">
        <v>-2.2052257162060331</v>
      </c>
      <c r="J66" s="16">
        <v>80</v>
      </c>
      <c r="K66" s="17">
        <f t="shared" si="18"/>
        <v>-0.60667303777060044</v>
      </c>
      <c r="L66" s="17">
        <f t="shared" si="19"/>
        <v>-0.64398918147300632</v>
      </c>
      <c r="M66" s="17">
        <f>G67</f>
        <v>-0.72648133236715373</v>
      </c>
      <c r="N66" s="17">
        <f>G73</f>
        <v>-0.83766522317042269</v>
      </c>
      <c r="O66" s="17">
        <f t="shared" si="20"/>
        <v>-0.96232704270127312</v>
      </c>
      <c r="P66" s="17">
        <f t="shared" si="21"/>
        <v>-1.0883394129145629</v>
      </c>
      <c r="Q66" s="17">
        <f>G91</f>
        <v>-1.2050355491608937</v>
      </c>
      <c r="R66" s="18">
        <f>G97</f>
        <v>-1.3019936572750732</v>
      </c>
      <c r="U66" s="16">
        <v>80</v>
      </c>
      <c r="V66" s="17">
        <v>0.60667303777060044</v>
      </c>
      <c r="W66" s="17">
        <v>0.64398918147300632</v>
      </c>
      <c r="X66" s="17">
        <v>0.72648133236715373</v>
      </c>
      <c r="Y66" s="17">
        <v>0.83766522317042269</v>
      </c>
      <c r="Z66" s="17">
        <v>0.96232704270127312</v>
      </c>
      <c r="AA66" s="17">
        <v>1.0883394129145629</v>
      </c>
      <c r="AB66" s="17">
        <v>1.2050355491608937</v>
      </c>
      <c r="AC66" s="18">
        <v>1.3019936572750732</v>
      </c>
    </row>
    <row r="67" spans="1:29" ht="15.75" thickBot="1" x14ac:dyDescent="0.3">
      <c r="A67" t="s">
        <v>5</v>
      </c>
      <c r="B67" s="24">
        <v>80</v>
      </c>
      <c r="C67" s="20">
        <v>50</v>
      </c>
      <c r="D67">
        <v>0</v>
      </c>
      <c r="E67">
        <v>3</v>
      </c>
      <c r="F67" s="1">
        <v>1.0607063966831007</v>
      </c>
      <c r="G67" s="1">
        <v>-0.72648133236715373</v>
      </c>
      <c r="H67" s="1">
        <v>-2.1694965651302276</v>
      </c>
    </row>
    <row r="68" spans="1:29" x14ac:dyDescent="0.25">
      <c r="A68" t="s">
        <v>5</v>
      </c>
      <c r="B68" s="24">
        <v>30</v>
      </c>
      <c r="C68" s="20">
        <v>60</v>
      </c>
      <c r="D68">
        <v>0</v>
      </c>
      <c r="E68">
        <v>3</v>
      </c>
      <c r="F68" s="1">
        <v>1.0952398797505292</v>
      </c>
      <c r="G68" s="1">
        <v>-2.2899134339544731</v>
      </c>
      <c r="H68" s="1">
        <v>-2.1955139734674178</v>
      </c>
      <c r="J68" s="5" t="s">
        <v>13</v>
      </c>
      <c r="K68" s="6" t="s">
        <v>10</v>
      </c>
      <c r="L68" s="7"/>
      <c r="M68" s="8"/>
      <c r="N68" s="8"/>
      <c r="O68" s="8"/>
      <c r="P68" s="8"/>
      <c r="Q68" s="8"/>
      <c r="R68" s="9"/>
      <c r="U68" s="5" t="s">
        <v>13</v>
      </c>
      <c r="V68" s="6" t="s">
        <v>10</v>
      </c>
      <c r="W68" s="7"/>
      <c r="X68" s="8"/>
      <c r="Y68" s="8"/>
      <c r="Z68" s="8"/>
      <c r="AA68" s="8"/>
      <c r="AB68" s="8"/>
      <c r="AC68" s="9"/>
    </row>
    <row r="69" spans="1:29" x14ac:dyDescent="0.25">
      <c r="A69" t="s">
        <v>5</v>
      </c>
      <c r="B69" s="24">
        <v>40</v>
      </c>
      <c r="C69" s="20">
        <v>60</v>
      </c>
      <c r="D69">
        <v>0</v>
      </c>
      <c r="E69">
        <v>3</v>
      </c>
      <c r="F69" s="1">
        <v>1.0920824230543509</v>
      </c>
      <c r="G69" s="1">
        <v>-1.9664530263702273</v>
      </c>
      <c r="H69" s="1">
        <v>-2.1972457836921944</v>
      </c>
      <c r="J69" s="10" t="s">
        <v>11</v>
      </c>
      <c r="K69" s="11">
        <v>30</v>
      </c>
      <c r="L69" s="11">
        <v>40</v>
      </c>
      <c r="M69" s="11">
        <v>50</v>
      </c>
      <c r="N69" s="11">
        <v>60</v>
      </c>
      <c r="O69" s="11">
        <v>70</v>
      </c>
      <c r="P69" s="11">
        <v>80</v>
      </c>
      <c r="Q69" s="11">
        <v>90</v>
      </c>
      <c r="R69" s="12">
        <v>100</v>
      </c>
      <c r="U69" s="10" t="s">
        <v>11</v>
      </c>
      <c r="V69" s="11">
        <v>30</v>
      </c>
      <c r="W69" s="11">
        <v>40</v>
      </c>
      <c r="X69" s="11">
        <v>50</v>
      </c>
      <c r="Y69" s="11">
        <v>60</v>
      </c>
      <c r="Z69" s="11">
        <v>70</v>
      </c>
      <c r="AA69" s="11">
        <v>80</v>
      </c>
      <c r="AB69" s="11">
        <v>90</v>
      </c>
      <c r="AC69" s="12">
        <v>100</v>
      </c>
    </row>
    <row r="70" spans="1:29" x14ac:dyDescent="0.25">
      <c r="A70" t="s">
        <v>5</v>
      </c>
      <c r="B70" s="24">
        <v>50</v>
      </c>
      <c r="C70" s="20">
        <v>60</v>
      </c>
      <c r="D70">
        <v>0</v>
      </c>
      <c r="E70">
        <v>3</v>
      </c>
      <c r="F70" s="1">
        <v>1.093617959161773</v>
      </c>
      <c r="G70" s="1">
        <v>-1.6637893531250556</v>
      </c>
      <c r="H70" s="1">
        <v>-2.2310645661671691</v>
      </c>
      <c r="J70" s="13">
        <v>30</v>
      </c>
      <c r="K70" s="14">
        <f>H50</f>
        <v>-2.0542248987643328</v>
      </c>
      <c r="L70" s="14">
        <f>H56</f>
        <v>-2.0949622533948156</v>
      </c>
      <c r="M70" s="14">
        <f>H62</f>
        <v>-2.1448336982612632</v>
      </c>
      <c r="N70" s="14">
        <f>H68</f>
        <v>-2.1955139734674178</v>
      </c>
      <c r="O70" s="14">
        <f>H74</f>
        <v>-2.2301385342223394</v>
      </c>
      <c r="P70" s="14">
        <f>H80</f>
        <v>-2.2301875904342463</v>
      </c>
      <c r="Q70" s="14">
        <f>H86</f>
        <v>-2.1853440090348135</v>
      </c>
      <c r="R70" s="15">
        <f>H92</f>
        <v>-2.100214421747467</v>
      </c>
      <c r="U70" s="13">
        <v>30</v>
      </c>
      <c r="V70" s="14">
        <v>2.0542248987643328</v>
      </c>
      <c r="W70" s="14">
        <v>2.0949622533948156</v>
      </c>
      <c r="X70" s="14">
        <v>2.1448336982612632</v>
      </c>
      <c r="Y70" s="14">
        <v>2.1955139734674178</v>
      </c>
      <c r="Z70" s="14">
        <v>2.2301385342223394</v>
      </c>
      <c r="AA70" s="14">
        <v>2.2301875904342463</v>
      </c>
      <c r="AB70" s="14">
        <v>2.1853440090348135</v>
      </c>
      <c r="AC70" s="15">
        <v>2.100214421747467</v>
      </c>
    </row>
    <row r="71" spans="1:29" x14ac:dyDescent="0.25">
      <c r="A71" t="s">
        <v>5</v>
      </c>
      <c r="B71" s="24">
        <v>60</v>
      </c>
      <c r="C71" s="20">
        <v>60</v>
      </c>
      <c r="D71">
        <v>0</v>
      </c>
      <c r="E71">
        <v>3</v>
      </c>
      <c r="F71" s="1">
        <v>1.0943240862975117</v>
      </c>
      <c r="G71" s="1">
        <v>-1.3937433468489131</v>
      </c>
      <c r="H71" s="1">
        <v>-2.2564631624068379</v>
      </c>
      <c r="J71" s="13">
        <v>40</v>
      </c>
      <c r="K71" s="14">
        <f>H51</f>
        <v>-2.0453316093111118</v>
      </c>
      <c r="L71" s="14">
        <f>H57</f>
        <v>-2.0860655984959369</v>
      </c>
      <c r="M71" s="14">
        <f>H63</f>
        <v>-2.1395045092084204</v>
      </c>
      <c r="N71" s="14">
        <f>H69</f>
        <v>-2.1972457836921944</v>
      </c>
      <c r="O71" s="14">
        <f>H75</f>
        <v>-2.2392806637492035</v>
      </c>
      <c r="P71" s="14">
        <f>H81</f>
        <v>-2.2418540866029031</v>
      </c>
      <c r="Q71" s="14">
        <f>H87</f>
        <v>-2.1902918183608415</v>
      </c>
      <c r="R71" s="15">
        <f>H93</f>
        <v>-2.0887833603125512</v>
      </c>
      <c r="U71" s="13">
        <v>40</v>
      </c>
      <c r="V71" s="14">
        <v>2.0453316093111118</v>
      </c>
      <c r="W71" s="14">
        <v>2.0860655984959369</v>
      </c>
      <c r="X71" s="14">
        <v>2.1395045092084204</v>
      </c>
      <c r="Y71" s="14">
        <v>2.1972457836921944</v>
      </c>
      <c r="Z71" s="14">
        <v>2.2392806637492035</v>
      </c>
      <c r="AA71" s="14">
        <v>2.2418540866029031</v>
      </c>
      <c r="AB71" s="14">
        <v>2.1902918183608415</v>
      </c>
      <c r="AC71" s="15">
        <v>2.0887833603125512</v>
      </c>
    </row>
    <row r="72" spans="1:29" x14ac:dyDescent="0.25">
      <c r="A72" t="s">
        <v>5</v>
      </c>
      <c r="B72" s="24">
        <v>70</v>
      </c>
      <c r="C72" s="20">
        <v>60</v>
      </c>
      <c r="D72">
        <v>0</v>
      </c>
      <c r="E72">
        <v>3</v>
      </c>
      <c r="F72" s="1">
        <v>1.0891430596443388</v>
      </c>
      <c r="G72" s="1">
        <v>-1.1142807893570441</v>
      </c>
      <c r="H72" s="1">
        <v>-2.2440502031835483</v>
      </c>
      <c r="J72" s="13">
        <v>50</v>
      </c>
      <c r="K72" s="14">
        <f>H52</f>
        <v>-2.0811022039196709</v>
      </c>
      <c r="L72" s="14">
        <f>H58</f>
        <v>-2.1200628257918144</v>
      </c>
      <c r="M72" s="14">
        <f>H64</f>
        <v>-2.1723410743858294</v>
      </c>
      <c r="N72" s="14">
        <f>H70</f>
        <v>-2.2310645661671691</v>
      </c>
      <c r="O72" s="14">
        <f>H76</f>
        <v>-2.274471829160865</v>
      </c>
      <c r="P72" s="14">
        <f>H82</f>
        <v>-2.2741127419209852</v>
      </c>
      <c r="Q72" s="14">
        <f>H88</f>
        <v>-2.2106821897758246</v>
      </c>
      <c r="R72" s="15">
        <f>H94</f>
        <v>-2.0874648056158307</v>
      </c>
      <c r="U72" s="13">
        <v>50</v>
      </c>
      <c r="V72" s="14">
        <v>2.0811022039196709</v>
      </c>
      <c r="W72" s="14">
        <v>2.1200628257918144</v>
      </c>
      <c r="X72" s="14">
        <v>2.1723410743858294</v>
      </c>
      <c r="Y72" s="14">
        <v>2.2310645661671691</v>
      </c>
      <c r="Z72" s="14">
        <v>2.274471829160865</v>
      </c>
      <c r="AA72" s="14">
        <v>2.2741127419209852</v>
      </c>
      <c r="AB72" s="14">
        <v>2.2106821897758246</v>
      </c>
      <c r="AC72" s="15">
        <v>2.0874648056158307</v>
      </c>
    </row>
    <row r="73" spans="1:29" x14ac:dyDescent="0.25">
      <c r="A73" t="s">
        <v>5</v>
      </c>
      <c r="B73" s="24">
        <v>80</v>
      </c>
      <c r="C73" s="20">
        <v>60</v>
      </c>
      <c r="D73">
        <v>0</v>
      </c>
      <c r="E73">
        <v>3</v>
      </c>
      <c r="F73" s="1">
        <v>1.0799026444730375</v>
      </c>
      <c r="G73" s="1">
        <v>-0.83766522317042269</v>
      </c>
      <c r="H73" s="1">
        <v>-2.2033945912333568</v>
      </c>
      <c r="J73" s="13">
        <v>60</v>
      </c>
      <c r="K73" s="14">
        <f>H53</f>
        <v>-2.1342848387219862</v>
      </c>
      <c r="L73" s="14">
        <f>H59</f>
        <v>-2.1642855385678312</v>
      </c>
      <c r="M73" s="14">
        <f>H65</f>
        <v>-2.20613644371356</v>
      </c>
      <c r="N73" s="14">
        <f>H71</f>
        <v>-2.2564631624068379</v>
      </c>
      <c r="O73" s="14">
        <f>H77</f>
        <v>-2.2940874054061124</v>
      </c>
      <c r="P73" s="14">
        <f>H83</f>
        <v>-2.2877734015690545</v>
      </c>
      <c r="Q73" s="14">
        <f>H89</f>
        <v>-2.2142765840690664</v>
      </c>
      <c r="R73" s="15">
        <f>H95</f>
        <v>-2.075094827826768</v>
      </c>
      <c r="U73" s="13">
        <v>60</v>
      </c>
      <c r="V73" s="14">
        <v>2.1342848387219862</v>
      </c>
      <c r="W73" s="14">
        <v>2.1642855385678312</v>
      </c>
      <c r="X73" s="14">
        <v>2.20613644371356</v>
      </c>
      <c r="Y73" s="14">
        <v>2.2564631624068379</v>
      </c>
      <c r="Z73" s="14">
        <v>2.2940874054061124</v>
      </c>
      <c r="AA73" s="14">
        <v>2.2877734015690545</v>
      </c>
      <c r="AB73" s="14">
        <v>2.2142765840690664</v>
      </c>
      <c r="AC73" s="15">
        <v>2.075094827826768</v>
      </c>
    </row>
    <row r="74" spans="1:29" x14ac:dyDescent="0.25">
      <c r="A74" t="s">
        <v>5</v>
      </c>
      <c r="B74" s="24">
        <v>30</v>
      </c>
      <c r="C74" s="20">
        <v>70</v>
      </c>
      <c r="D74">
        <v>0</v>
      </c>
      <c r="E74">
        <v>3</v>
      </c>
      <c r="F74" s="1">
        <v>1.1170762825885832</v>
      </c>
      <c r="G74" s="1">
        <v>-2.4157299254962648</v>
      </c>
      <c r="H74" s="1">
        <v>-2.2301385342223394</v>
      </c>
      <c r="J74" s="13">
        <v>70</v>
      </c>
      <c r="K74" s="14">
        <f>H54</f>
        <v>-2.1603368823510687</v>
      </c>
      <c r="L74" s="14">
        <f>H60</f>
        <v>-2.1774885136940401</v>
      </c>
      <c r="M74" s="14">
        <f>H66</f>
        <v>-2.2052257162060331</v>
      </c>
      <c r="N74" s="14">
        <f>H72</f>
        <v>-2.2440502031835483</v>
      </c>
      <c r="O74" s="14">
        <f>H78</f>
        <v>-2.2750730539776889</v>
      </c>
      <c r="P74" s="14">
        <f>H84</f>
        <v>-2.2667856402217277</v>
      </c>
      <c r="Q74" s="14">
        <f>H90</f>
        <v>-2.1937218757386368</v>
      </c>
      <c r="R74" s="15">
        <f>H96</f>
        <v>-2.0549025116078656</v>
      </c>
      <c r="U74" s="13">
        <v>70</v>
      </c>
      <c r="V74" s="14">
        <v>2.1603368823510687</v>
      </c>
      <c r="W74" s="14">
        <v>2.1774885136940401</v>
      </c>
      <c r="X74" s="14">
        <v>2.2052257162060331</v>
      </c>
      <c r="Y74" s="14">
        <v>2.2440502031835483</v>
      </c>
      <c r="Z74" s="14">
        <v>2.2750730539776889</v>
      </c>
      <c r="AA74" s="14">
        <v>2.2667856402217277</v>
      </c>
      <c r="AB74" s="14">
        <v>2.1937218757386368</v>
      </c>
      <c r="AC74" s="15">
        <v>2.0549025116078656</v>
      </c>
    </row>
    <row r="75" spans="1:29" ht="15.75" thickBot="1" x14ac:dyDescent="0.3">
      <c r="A75" t="s">
        <v>5</v>
      </c>
      <c r="B75" s="24">
        <v>40</v>
      </c>
      <c r="C75" s="20">
        <v>70</v>
      </c>
      <c r="D75">
        <v>0</v>
      </c>
      <c r="E75">
        <v>3</v>
      </c>
      <c r="F75" s="1">
        <v>1.1114511080955771</v>
      </c>
      <c r="G75" s="1">
        <v>-2.1021540550060838</v>
      </c>
      <c r="H75" s="1">
        <v>-2.2392806637492035</v>
      </c>
      <c r="J75" s="16">
        <v>80</v>
      </c>
      <c r="K75" s="17">
        <f>H55</f>
        <v>-2.1386551941806222</v>
      </c>
      <c r="L75" s="17">
        <f>H61</f>
        <v>-2.1487150402495616</v>
      </c>
      <c r="M75" s="17">
        <f>H67</f>
        <v>-2.1694965651302276</v>
      </c>
      <c r="N75" s="17">
        <f>H73</f>
        <v>-2.2033945912333568</v>
      </c>
      <c r="O75" s="17">
        <f>H79</f>
        <v>-2.2340054390979294</v>
      </c>
      <c r="P75" s="17">
        <f>H85</f>
        <v>-2.2318677781749612</v>
      </c>
      <c r="Q75" s="17">
        <f>H91</f>
        <v>-2.1718064020312089</v>
      </c>
      <c r="R75" s="18">
        <f>H97</f>
        <v>-2.0506502109014475</v>
      </c>
      <c r="U75" s="16">
        <v>80</v>
      </c>
      <c r="V75" s="17">
        <v>2.1386551941806222</v>
      </c>
      <c r="W75" s="17">
        <v>2.1487150402495616</v>
      </c>
      <c r="X75" s="17">
        <v>2.1694965651302276</v>
      </c>
      <c r="Y75" s="17">
        <v>2.2033945912333568</v>
      </c>
      <c r="Z75" s="17">
        <v>2.2340054390979294</v>
      </c>
      <c r="AA75" s="17">
        <v>2.2318677781749612</v>
      </c>
      <c r="AB75" s="17">
        <v>2.1718064020312089</v>
      </c>
      <c r="AC75" s="18">
        <v>2.0506502109014475</v>
      </c>
    </row>
    <row r="76" spans="1:29" ht="15.75" thickBot="1" x14ac:dyDescent="0.3">
      <c r="A76" t="s">
        <v>5</v>
      </c>
      <c r="B76" s="24">
        <v>50</v>
      </c>
      <c r="C76" s="20">
        <v>70</v>
      </c>
      <c r="D76">
        <v>0</v>
      </c>
      <c r="E76">
        <v>3</v>
      </c>
      <c r="F76" s="1">
        <v>1.1114516166276389</v>
      </c>
      <c r="G76" s="1">
        <v>-1.7972881760168722</v>
      </c>
      <c r="H76" s="1">
        <v>-2.274471829160865</v>
      </c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t="s">
        <v>5</v>
      </c>
      <c r="B77" s="24">
        <v>60</v>
      </c>
      <c r="C77" s="20">
        <v>70</v>
      </c>
      <c r="D77">
        <v>0</v>
      </c>
      <c r="E77">
        <v>3</v>
      </c>
      <c r="F77" s="1">
        <v>1.1124134816080067</v>
      </c>
      <c r="G77" s="1">
        <v>-1.5290114104475341</v>
      </c>
      <c r="H77" s="1">
        <v>-2.2940874054061124</v>
      </c>
      <c r="J77" s="5" t="s">
        <v>29</v>
      </c>
      <c r="K77" s="6" t="s">
        <v>10</v>
      </c>
      <c r="L77" s="7"/>
      <c r="M77" s="8"/>
      <c r="N77" s="8"/>
      <c r="O77" s="8"/>
      <c r="P77" s="8"/>
      <c r="Q77" s="8"/>
      <c r="R77" s="9"/>
      <c r="U77" s="5" t="s">
        <v>29</v>
      </c>
      <c r="V77" s="6" t="s">
        <v>10</v>
      </c>
      <c r="W77" s="7"/>
      <c r="X77" s="8"/>
      <c r="Y77" s="8"/>
      <c r="Z77" s="8"/>
      <c r="AA77" s="8"/>
      <c r="AB77" s="8"/>
      <c r="AC77" s="9"/>
    </row>
    <row r="78" spans="1:29" x14ac:dyDescent="0.25">
      <c r="A78" t="s">
        <v>5</v>
      </c>
      <c r="B78" s="24">
        <v>70</v>
      </c>
      <c r="C78" s="20">
        <v>70</v>
      </c>
      <c r="D78">
        <v>0</v>
      </c>
      <c r="E78">
        <v>3</v>
      </c>
      <c r="F78" s="1">
        <v>1.1083272466620619</v>
      </c>
      <c r="G78" s="1">
        <v>-1.2519677988900111</v>
      </c>
      <c r="H78" s="1">
        <v>-2.2750730539776889</v>
      </c>
      <c r="J78" s="10" t="s">
        <v>11</v>
      </c>
      <c r="K78" s="11">
        <v>30</v>
      </c>
      <c r="L78" s="11">
        <v>40</v>
      </c>
      <c r="M78" s="11">
        <v>50</v>
      </c>
      <c r="N78" s="11">
        <v>60</v>
      </c>
      <c r="O78" s="11">
        <v>70</v>
      </c>
      <c r="P78" s="11">
        <v>80</v>
      </c>
      <c r="Q78" s="11">
        <v>90</v>
      </c>
      <c r="R78" s="12">
        <v>100</v>
      </c>
      <c r="U78" s="10" t="s">
        <v>11</v>
      </c>
      <c r="V78" s="11">
        <v>30</v>
      </c>
      <c r="W78" s="11">
        <v>40</v>
      </c>
      <c r="X78" s="11">
        <v>50</v>
      </c>
      <c r="Y78" s="11">
        <v>60</v>
      </c>
      <c r="Z78" s="11">
        <v>70</v>
      </c>
      <c r="AA78" s="11">
        <v>80</v>
      </c>
      <c r="AB78" s="11">
        <v>90</v>
      </c>
      <c r="AC78" s="12">
        <v>100</v>
      </c>
    </row>
    <row r="79" spans="1:29" x14ac:dyDescent="0.25">
      <c r="A79" t="s">
        <v>5</v>
      </c>
      <c r="B79" s="24">
        <v>80</v>
      </c>
      <c r="C79" s="20">
        <v>70</v>
      </c>
      <c r="D79">
        <v>0</v>
      </c>
      <c r="E79">
        <v>3</v>
      </c>
      <c r="F79" s="1">
        <v>1.0993683728461956</v>
      </c>
      <c r="G79" s="1">
        <v>-0.96232704270127312</v>
      </c>
      <c r="H79" s="1">
        <v>-2.2340054390979294</v>
      </c>
      <c r="J79" s="13">
        <v>30</v>
      </c>
      <c r="K79" s="31">
        <f>K61+K70</f>
        <v>-3.8684075410255505</v>
      </c>
      <c r="L79" s="31">
        <f t="shared" ref="L79:R79" si="22">L61+L70</f>
        <v>-4.0733160494060785</v>
      </c>
      <c r="M79" s="31">
        <f t="shared" si="22"/>
        <v>-4.2867323461338023</v>
      </c>
      <c r="N79" s="31">
        <f t="shared" si="22"/>
        <v>-4.4854274074218914</v>
      </c>
      <c r="O79" s="31">
        <f t="shared" si="22"/>
        <v>-4.6458684597186046</v>
      </c>
      <c r="P79" s="31">
        <f t="shared" si="22"/>
        <v>-4.7490021300262288</v>
      </c>
      <c r="Q79" s="31">
        <f t="shared" si="22"/>
        <v>-4.78269054962285</v>
      </c>
      <c r="R79" s="15">
        <f t="shared" si="22"/>
        <v>-4.7421830944956636</v>
      </c>
      <c r="U79" s="13">
        <v>30</v>
      </c>
      <c r="V79" s="31">
        <v>3.8684075410255505</v>
      </c>
      <c r="W79" s="31">
        <v>4.0733160494060785</v>
      </c>
      <c r="X79" s="31">
        <v>4.2867323461338023</v>
      </c>
      <c r="Y79" s="31">
        <v>4.4854274074218914</v>
      </c>
      <c r="Z79" s="31">
        <v>4.6458684597186046</v>
      </c>
      <c r="AA79" s="31">
        <v>4.7490021300262288</v>
      </c>
      <c r="AB79" s="31">
        <v>4.78269054962285</v>
      </c>
      <c r="AC79" s="15">
        <v>4.7421830944956636</v>
      </c>
    </row>
    <row r="80" spans="1:29" x14ac:dyDescent="0.25">
      <c r="A80" t="s">
        <v>5</v>
      </c>
      <c r="B80" s="24">
        <v>30</v>
      </c>
      <c r="C80" s="20">
        <v>80</v>
      </c>
      <c r="D80">
        <v>0</v>
      </c>
      <c r="E80">
        <v>3</v>
      </c>
      <c r="F80" s="1">
        <v>1.1360571039912339</v>
      </c>
      <c r="G80" s="1">
        <v>-2.518814539591983</v>
      </c>
      <c r="H80" s="1">
        <v>-2.2301875904342463</v>
      </c>
      <c r="J80" s="13">
        <v>40</v>
      </c>
      <c r="K80" s="31">
        <f t="shared" ref="K80:R80" si="23">K62+K71</f>
        <v>-3.5663642676842935</v>
      </c>
      <c r="L80" s="31">
        <f t="shared" si="23"/>
        <v>-3.7517878422206326</v>
      </c>
      <c r="M80" s="31">
        <f t="shared" si="23"/>
        <v>-3.9586348262933484</v>
      </c>
      <c r="N80" s="31">
        <f t="shared" si="23"/>
        <v>-4.1636988100624217</v>
      </c>
      <c r="O80" s="31">
        <f t="shared" si="23"/>
        <v>-4.3414347187552877</v>
      </c>
      <c r="P80" s="31">
        <f t="shared" si="23"/>
        <v>-4.4688058987503236</v>
      </c>
      <c r="Q80" s="31">
        <f t="shared" si="23"/>
        <v>-4.5289631411172984</v>
      </c>
      <c r="R80" s="15">
        <f t="shared" si="23"/>
        <v>-4.5137158163141251</v>
      </c>
      <c r="U80" s="13">
        <v>40</v>
      </c>
      <c r="V80" s="31">
        <v>3.5663642676842935</v>
      </c>
      <c r="W80" s="31">
        <v>3.7517878422206326</v>
      </c>
      <c r="X80" s="31">
        <v>3.9586348262933484</v>
      </c>
      <c r="Y80" s="31">
        <v>4.1636988100624217</v>
      </c>
      <c r="Z80" s="31">
        <v>4.3414347187552877</v>
      </c>
      <c r="AA80" s="31">
        <v>4.4688058987503236</v>
      </c>
      <c r="AB80" s="31">
        <v>4.5289631411172984</v>
      </c>
      <c r="AC80" s="15">
        <v>4.5137158163141251</v>
      </c>
    </row>
    <row r="81" spans="1:29" x14ac:dyDescent="0.25">
      <c r="A81" t="s">
        <v>5</v>
      </c>
      <c r="B81" s="24">
        <v>40</v>
      </c>
      <c r="C81" s="20">
        <v>80</v>
      </c>
      <c r="D81">
        <v>0</v>
      </c>
      <c r="E81">
        <v>3</v>
      </c>
      <c r="F81" s="1">
        <v>1.1289298262644087</v>
      </c>
      <c r="G81" s="1">
        <v>-2.226951812147421</v>
      </c>
      <c r="H81" s="1">
        <v>-2.2418540866029031</v>
      </c>
      <c r="J81" s="13">
        <v>50</v>
      </c>
      <c r="K81" s="31">
        <f t="shared" ref="K81:R81" si="24">K63+K72</f>
        <v>-3.3171037348690637</v>
      </c>
      <c r="L81" s="31">
        <f t="shared" si="24"/>
        <v>-3.4894328638719001</v>
      </c>
      <c r="M81" s="31">
        <f t="shared" si="24"/>
        <v>-3.6906990502357448</v>
      </c>
      <c r="N81" s="31">
        <f t="shared" si="24"/>
        <v>-3.8948539192922249</v>
      </c>
      <c r="O81" s="31">
        <f t="shared" si="24"/>
        <v>-4.0717600051777367</v>
      </c>
      <c r="P81" s="31">
        <f t="shared" si="24"/>
        <v>-4.1935146958704808</v>
      </c>
      <c r="Q81" s="31">
        <f t="shared" si="24"/>
        <v>-4.2409361141203341</v>
      </c>
      <c r="R81" s="15">
        <f t="shared" si="24"/>
        <v>-4.2085719186313328</v>
      </c>
      <c r="U81" s="13">
        <v>50</v>
      </c>
      <c r="V81" s="31">
        <v>3.3171037348690637</v>
      </c>
      <c r="W81" s="31">
        <v>3.4894328638719001</v>
      </c>
      <c r="X81" s="31">
        <v>3.6906990502357448</v>
      </c>
      <c r="Y81" s="31">
        <v>3.8948539192922249</v>
      </c>
      <c r="Z81" s="31">
        <v>4.0717600051777367</v>
      </c>
      <c r="AA81" s="31">
        <v>4.1935146958704808</v>
      </c>
      <c r="AB81" s="31">
        <v>4.2409361141203341</v>
      </c>
      <c r="AC81" s="15">
        <v>4.2085719186313328</v>
      </c>
    </row>
    <row r="82" spans="1:29" x14ac:dyDescent="0.25">
      <c r="A82" t="s">
        <v>5</v>
      </c>
      <c r="B82" s="24">
        <v>50</v>
      </c>
      <c r="C82" s="20">
        <v>80</v>
      </c>
      <c r="D82">
        <v>0</v>
      </c>
      <c r="E82">
        <v>3</v>
      </c>
      <c r="F82" s="1">
        <v>1.1275455105213876</v>
      </c>
      <c r="G82" s="1">
        <v>-1.9194019539494953</v>
      </c>
      <c r="H82" s="1">
        <v>-2.2741127419209852</v>
      </c>
      <c r="J82" s="13">
        <v>60</v>
      </c>
      <c r="K82" s="31">
        <f t="shared" ref="K82:R82" si="25">K64+K73</f>
        <v>-3.1076454291257587</v>
      </c>
      <c r="L82" s="31">
        <f t="shared" si="25"/>
        <v>-3.260781450521729</v>
      </c>
      <c r="M82" s="31">
        <f t="shared" si="25"/>
        <v>-3.4509408085306283</v>
      </c>
      <c r="N82" s="31">
        <f t="shared" si="25"/>
        <v>-3.6502065092557512</v>
      </c>
      <c r="O82" s="31">
        <f t="shared" si="25"/>
        <v>-3.8230988158536467</v>
      </c>
      <c r="P82" s="31">
        <f t="shared" si="25"/>
        <v>-3.9349092827172147</v>
      </c>
      <c r="Q82" s="31">
        <f t="shared" si="25"/>
        <v>-3.9623768267192947</v>
      </c>
      <c r="R82" s="15">
        <f t="shared" si="25"/>
        <v>-3.9025557504329886</v>
      </c>
      <c r="U82" s="13">
        <v>60</v>
      </c>
      <c r="V82" s="31">
        <v>3.1076454291257587</v>
      </c>
      <c r="W82" s="31">
        <v>3.260781450521729</v>
      </c>
      <c r="X82" s="31">
        <v>3.4509408085306283</v>
      </c>
      <c r="Y82" s="31">
        <v>3.6502065092557512</v>
      </c>
      <c r="Z82" s="31">
        <v>3.8230988158536467</v>
      </c>
      <c r="AA82" s="31">
        <v>3.9349092827172147</v>
      </c>
      <c r="AB82" s="31">
        <v>3.9623768267192947</v>
      </c>
      <c r="AC82" s="15">
        <v>3.9025557504329886</v>
      </c>
    </row>
    <row r="83" spans="1:29" x14ac:dyDescent="0.25">
      <c r="A83" t="s">
        <v>5</v>
      </c>
      <c r="B83" s="24">
        <v>60</v>
      </c>
      <c r="C83" s="20">
        <v>80</v>
      </c>
      <c r="D83">
        <v>0</v>
      </c>
      <c r="E83">
        <v>3</v>
      </c>
      <c r="F83" s="1">
        <v>1.1285537189579236</v>
      </c>
      <c r="G83" s="1">
        <v>-1.6471358811481602</v>
      </c>
      <c r="H83" s="1">
        <v>-2.2877734015690545</v>
      </c>
      <c r="J83" s="13">
        <v>70</v>
      </c>
      <c r="K83" s="31">
        <f t="shared" ref="K83:R83" si="26">K65+K74</f>
        <v>-2.9075659667993068</v>
      </c>
      <c r="L83" s="31">
        <f t="shared" si="26"/>
        <v>-3.0181086054034516</v>
      </c>
      <c r="M83" s="31">
        <f t="shared" si="26"/>
        <v>-3.1763820169952872</v>
      </c>
      <c r="N83" s="31">
        <f t="shared" si="26"/>
        <v>-3.3583309925405924</v>
      </c>
      <c r="O83" s="31">
        <f t="shared" si="26"/>
        <v>-3.5270408528677</v>
      </c>
      <c r="P83" s="31">
        <f t="shared" si="26"/>
        <v>-3.6418008675257894</v>
      </c>
      <c r="Q83" s="31">
        <f t="shared" si="26"/>
        <v>-3.6725474742149307</v>
      </c>
      <c r="R83" s="15">
        <f t="shared" si="26"/>
        <v>-3.613242608320351</v>
      </c>
      <c r="U83" s="13">
        <v>70</v>
      </c>
      <c r="V83" s="31">
        <v>2.9075659667993068</v>
      </c>
      <c r="W83" s="31">
        <v>3.0181086054034516</v>
      </c>
      <c r="X83" s="31">
        <v>3.1763820169952872</v>
      </c>
      <c r="Y83" s="31">
        <v>3.3583309925405924</v>
      </c>
      <c r="Z83" s="31">
        <v>3.5270408528677</v>
      </c>
      <c r="AA83" s="31">
        <v>3.6418008675257894</v>
      </c>
      <c r="AB83" s="31">
        <v>3.6725474742149307</v>
      </c>
      <c r="AC83" s="15">
        <v>3.613242608320351</v>
      </c>
    </row>
    <row r="84" spans="1:29" ht="15.75" thickBot="1" x14ac:dyDescent="0.3">
      <c r="A84" t="s">
        <v>5</v>
      </c>
      <c r="B84" s="24">
        <v>70</v>
      </c>
      <c r="C84" s="20">
        <v>80</v>
      </c>
      <c r="D84">
        <v>0</v>
      </c>
      <c r="E84">
        <v>3</v>
      </c>
      <c r="F84" s="1">
        <v>1.1257667044592239</v>
      </c>
      <c r="G84" s="1">
        <v>-1.3750152273040617</v>
      </c>
      <c r="H84" s="1">
        <v>-2.2667856402217277</v>
      </c>
      <c r="J84" s="16">
        <v>80</v>
      </c>
      <c r="K84" s="17">
        <f t="shared" ref="K84:R84" si="27">K66+K75</f>
        <v>-2.7453282319512224</v>
      </c>
      <c r="L84" s="17">
        <f t="shared" si="27"/>
        <v>-2.7927042217225679</v>
      </c>
      <c r="M84" s="17">
        <f t="shared" si="27"/>
        <v>-2.8959778974973815</v>
      </c>
      <c r="N84" s="17">
        <f t="shared" si="27"/>
        <v>-3.0410598144037797</v>
      </c>
      <c r="O84" s="17">
        <f t="shared" si="27"/>
        <v>-3.1963324817992023</v>
      </c>
      <c r="P84" s="17">
        <f t="shared" si="27"/>
        <v>-3.3202071910895241</v>
      </c>
      <c r="Q84" s="17">
        <f t="shared" si="27"/>
        <v>-3.3768419511921026</v>
      </c>
      <c r="R84" s="18">
        <f t="shared" si="27"/>
        <v>-3.3526438681765205</v>
      </c>
      <c r="U84" s="16">
        <v>80</v>
      </c>
      <c r="V84" s="17">
        <v>2.7453282319512224</v>
      </c>
      <c r="W84" s="17">
        <v>2.7927042217225679</v>
      </c>
      <c r="X84" s="17">
        <v>2.8959778974973815</v>
      </c>
      <c r="Y84" s="17">
        <v>3.0410598144037797</v>
      </c>
      <c r="Z84" s="17">
        <v>3.1963324817992023</v>
      </c>
      <c r="AA84" s="17">
        <v>3.3202071910895241</v>
      </c>
      <c r="AB84" s="17">
        <v>3.3768419511921026</v>
      </c>
      <c r="AC84" s="18">
        <v>3.3526438681765205</v>
      </c>
    </row>
    <row r="85" spans="1:29" ht="15.75" thickBot="1" x14ac:dyDescent="0.3">
      <c r="A85" t="s">
        <v>5</v>
      </c>
      <c r="B85" s="24">
        <v>80</v>
      </c>
      <c r="C85" s="20">
        <v>80</v>
      </c>
      <c r="D85">
        <v>0</v>
      </c>
      <c r="E85">
        <v>3</v>
      </c>
      <c r="F85" s="1">
        <v>1.1178713507246241</v>
      </c>
      <c r="G85" s="1">
        <v>-1.0883394129145629</v>
      </c>
      <c r="H85" s="1">
        <v>-2.2318677781749612</v>
      </c>
    </row>
    <row r="86" spans="1:29" x14ac:dyDescent="0.25">
      <c r="A86" t="s">
        <v>5</v>
      </c>
      <c r="B86" s="24">
        <v>30</v>
      </c>
      <c r="C86" s="20">
        <v>90</v>
      </c>
      <c r="D86">
        <v>0</v>
      </c>
      <c r="E86">
        <v>3</v>
      </c>
      <c r="F86" s="1">
        <v>1.1519173783495864</v>
      </c>
      <c r="G86" s="1">
        <v>-2.5973465405880365</v>
      </c>
      <c r="H86" s="1">
        <v>-2.1853440090348135</v>
      </c>
      <c r="J86" s="5" t="s">
        <v>30</v>
      </c>
      <c r="K86" s="6" t="s">
        <v>10</v>
      </c>
      <c r="L86" s="7"/>
      <c r="M86" s="8"/>
      <c r="N86" s="8"/>
      <c r="O86" s="8"/>
      <c r="P86" s="8"/>
      <c r="Q86" s="8"/>
      <c r="R86" s="9"/>
      <c r="U86" s="5" t="s">
        <v>30</v>
      </c>
      <c r="V86" s="6" t="s">
        <v>10</v>
      </c>
      <c r="W86" s="7"/>
      <c r="X86" s="8"/>
      <c r="Y86" s="8"/>
      <c r="Z86" s="8"/>
      <c r="AA86" s="8"/>
      <c r="AB86" s="8"/>
      <c r="AC86" s="9"/>
    </row>
    <row r="87" spans="1:29" x14ac:dyDescent="0.25">
      <c r="A87" t="s">
        <v>5</v>
      </c>
      <c r="B87" s="24">
        <v>40</v>
      </c>
      <c r="C87" s="20">
        <v>90</v>
      </c>
      <c r="D87">
        <v>0</v>
      </c>
      <c r="E87">
        <v>3</v>
      </c>
      <c r="F87" s="1">
        <v>1.1451612205380644</v>
      </c>
      <c r="G87" s="1">
        <v>-2.3386713227564573</v>
      </c>
      <c r="H87" s="1">
        <v>-2.1902918183608415</v>
      </c>
      <c r="J87" s="10" t="s">
        <v>11</v>
      </c>
      <c r="K87" s="11">
        <v>30</v>
      </c>
      <c r="L87" s="11">
        <v>40</v>
      </c>
      <c r="M87" s="11">
        <v>50</v>
      </c>
      <c r="N87" s="11">
        <v>60</v>
      </c>
      <c r="O87" s="11">
        <v>70</v>
      </c>
      <c r="P87" s="11">
        <v>80</v>
      </c>
      <c r="Q87" s="11">
        <v>90</v>
      </c>
      <c r="R87" s="12">
        <v>100</v>
      </c>
      <c r="U87" s="10" t="s">
        <v>11</v>
      </c>
      <c r="V87" s="11">
        <v>30</v>
      </c>
      <c r="W87" s="11">
        <v>40</v>
      </c>
      <c r="X87" s="11">
        <v>50</v>
      </c>
      <c r="Y87" s="11">
        <v>60</v>
      </c>
      <c r="Z87" s="11">
        <v>70</v>
      </c>
      <c r="AA87" s="11">
        <v>80</v>
      </c>
      <c r="AB87" s="11">
        <v>90</v>
      </c>
      <c r="AC87" s="12">
        <v>100</v>
      </c>
    </row>
    <row r="88" spans="1:29" x14ac:dyDescent="0.25">
      <c r="A88" t="s">
        <v>5</v>
      </c>
      <c r="B88" s="24">
        <v>50</v>
      </c>
      <c r="C88" s="20">
        <v>90</v>
      </c>
      <c r="D88">
        <v>0</v>
      </c>
      <c r="E88">
        <v>3</v>
      </c>
      <c r="F88" s="1">
        <v>1.142823383525766</v>
      </c>
      <c r="G88" s="1">
        <v>-2.0302539243445095</v>
      </c>
      <c r="H88" s="1">
        <v>-2.2106821897758246</v>
      </c>
      <c r="J88" s="13">
        <v>30</v>
      </c>
      <c r="K88" s="31">
        <f>K61/(K61+K70)</f>
        <v>0.46897402174442593</v>
      </c>
      <c r="L88" s="31">
        <f t="shared" ref="L88:R88" si="28">L61/(L61+L70)</f>
        <v>0.48568629883255005</v>
      </c>
      <c r="M88" s="31">
        <f t="shared" si="28"/>
        <v>0.49965765877692697</v>
      </c>
      <c r="N88" s="31">
        <f t="shared" si="28"/>
        <v>0.51052290583622595</v>
      </c>
      <c r="O88" s="31">
        <f t="shared" si="28"/>
        <v>0.51997381037399903</v>
      </c>
      <c r="P88" s="31">
        <f t="shared" si="28"/>
        <v>0.53038816800405841</v>
      </c>
      <c r="Q88" s="31">
        <f t="shared" si="28"/>
        <v>0.54307225475686616</v>
      </c>
      <c r="R88" s="15">
        <f t="shared" si="28"/>
        <v>0.55712076486772033</v>
      </c>
      <c r="U88" s="13">
        <v>30</v>
      </c>
      <c r="V88" s="31">
        <v>0.46897402174442593</v>
      </c>
      <c r="W88" s="31">
        <v>0.48568629883255005</v>
      </c>
      <c r="X88" s="31">
        <v>0.49965765877692697</v>
      </c>
      <c r="Y88" s="31">
        <v>0.51052290583622595</v>
      </c>
      <c r="Z88" s="31">
        <v>0.51997381037399903</v>
      </c>
      <c r="AA88" s="31">
        <v>0.53038816800405841</v>
      </c>
      <c r="AB88" s="31">
        <v>0.54307225475686616</v>
      </c>
      <c r="AC88" s="15">
        <v>0.55712076486772033</v>
      </c>
    </row>
    <row r="89" spans="1:29" x14ac:dyDescent="0.25">
      <c r="A89" t="s">
        <v>5</v>
      </c>
      <c r="B89" s="24">
        <v>60</v>
      </c>
      <c r="C89" s="20">
        <v>90</v>
      </c>
      <c r="D89">
        <v>0</v>
      </c>
      <c r="E89">
        <v>3</v>
      </c>
      <c r="F89" s="1">
        <v>1.1431133409082883</v>
      </c>
      <c r="G89" s="1">
        <v>-1.7481002426502283</v>
      </c>
      <c r="H89" s="1">
        <v>-2.2142765840690664</v>
      </c>
      <c r="J89" s="13">
        <v>40</v>
      </c>
      <c r="K89" s="31">
        <f t="shared" ref="K89:R89" si="29">K62/(K62+K71)</f>
        <v>0.42649391486888588</v>
      </c>
      <c r="L89" s="31">
        <f t="shared" si="29"/>
        <v>0.44398092690091379</v>
      </c>
      <c r="M89" s="31">
        <f t="shared" si="29"/>
        <v>0.45953476309616142</v>
      </c>
      <c r="N89" s="31">
        <f t="shared" si="29"/>
        <v>0.4722851282177028</v>
      </c>
      <c r="O89" s="31">
        <f t="shared" si="29"/>
        <v>0.48420722438244618</v>
      </c>
      <c r="P89" s="31">
        <f t="shared" si="29"/>
        <v>0.49833263350511048</v>
      </c>
      <c r="Q89" s="31">
        <f t="shared" si="29"/>
        <v>0.51638117818276297</v>
      </c>
      <c r="R89" s="15">
        <f t="shared" si="29"/>
        <v>0.53723640448010301</v>
      </c>
      <c r="U89" s="13">
        <v>40</v>
      </c>
      <c r="V89" s="31">
        <v>0.42649391486888588</v>
      </c>
      <c r="W89" s="31">
        <v>0.44398092690091379</v>
      </c>
      <c r="X89" s="31">
        <v>0.45953476309616142</v>
      </c>
      <c r="Y89" s="31">
        <v>0.4722851282177028</v>
      </c>
      <c r="Z89" s="31">
        <v>0.48420722438244618</v>
      </c>
      <c r="AA89" s="31">
        <v>0.49833263350511048</v>
      </c>
      <c r="AB89" s="31">
        <v>0.51638117818276297</v>
      </c>
      <c r="AC89" s="15">
        <v>0.53723640448010301</v>
      </c>
    </row>
    <row r="90" spans="1:29" x14ac:dyDescent="0.25">
      <c r="A90" t="s">
        <v>5</v>
      </c>
      <c r="B90" s="24">
        <v>70</v>
      </c>
      <c r="C90" s="20">
        <v>90</v>
      </c>
      <c r="D90">
        <v>0</v>
      </c>
      <c r="E90">
        <v>3</v>
      </c>
      <c r="F90" s="1">
        <v>1.1407539525003885</v>
      </c>
      <c r="G90" s="1">
        <v>-1.4788255984762939</v>
      </c>
      <c r="H90" s="1">
        <v>-2.1937218757386368</v>
      </c>
      <c r="J90" s="13">
        <v>50</v>
      </c>
      <c r="K90" s="31">
        <f t="shared" ref="K90:R90" si="30">K63/(K63+K72)</f>
        <v>0.37261467525319386</v>
      </c>
      <c r="L90" s="31">
        <f t="shared" si="30"/>
        <v>0.39243341009880406</v>
      </c>
      <c r="M90" s="31">
        <f t="shared" si="30"/>
        <v>0.41140118855069735</v>
      </c>
      <c r="N90" s="31">
        <f t="shared" si="30"/>
        <v>0.42717631716144067</v>
      </c>
      <c r="O90" s="31">
        <f t="shared" si="30"/>
        <v>0.4414032687907446</v>
      </c>
      <c r="P90" s="31">
        <f t="shared" si="30"/>
        <v>0.45770722011290577</v>
      </c>
      <c r="Q90" s="31">
        <f t="shared" si="30"/>
        <v>0.47872777842248398</v>
      </c>
      <c r="R90" s="15">
        <f t="shared" si="30"/>
        <v>0.50399687923244663</v>
      </c>
      <c r="U90" s="13">
        <v>50</v>
      </c>
      <c r="V90" s="31">
        <v>0.37261467525319386</v>
      </c>
      <c r="W90" s="31">
        <v>0.39243341009880406</v>
      </c>
      <c r="X90" s="31">
        <v>0.41140118855069735</v>
      </c>
      <c r="Y90" s="31">
        <v>0.42717631716144067</v>
      </c>
      <c r="Z90" s="31">
        <v>0.4414032687907446</v>
      </c>
      <c r="AA90" s="31">
        <v>0.45770722011290577</v>
      </c>
      <c r="AB90" s="31">
        <v>0.47872777842248398</v>
      </c>
      <c r="AC90" s="15">
        <v>0.50399687923244663</v>
      </c>
    </row>
    <row r="91" spans="1:29" x14ac:dyDescent="0.25">
      <c r="A91" t="s">
        <v>5</v>
      </c>
      <c r="B91" s="24">
        <v>80</v>
      </c>
      <c r="C91" s="20">
        <v>90</v>
      </c>
      <c r="D91">
        <v>0</v>
      </c>
      <c r="E91">
        <v>3</v>
      </c>
      <c r="F91" s="1">
        <v>1.1336887225611685</v>
      </c>
      <c r="G91" s="1">
        <v>-1.2050355491608937</v>
      </c>
      <c r="H91" s="1">
        <v>-2.1718064020312089</v>
      </c>
      <c r="J91" s="13">
        <v>60</v>
      </c>
      <c r="K91" s="31">
        <f t="shared" ref="K91:R91" si="31">K64/(K64+K73)</f>
        <v>0.31321481571904997</v>
      </c>
      <c r="L91" s="31">
        <f t="shared" si="31"/>
        <v>0.33626783290810763</v>
      </c>
      <c r="M91" s="31">
        <f t="shared" si="31"/>
        <v>0.36071449320137489</v>
      </c>
      <c r="N91" s="31">
        <f t="shared" si="31"/>
        <v>0.3818258893886764</v>
      </c>
      <c r="O91" s="31">
        <f t="shared" si="31"/>
        <v>0.39994033220041852</v>
      </c>
      <c r="P91" s="31">
        <f t="shared" si="31"/>
        <v>0.41859564294980289</v>
      </c>
      <c r="Q91" s="31">
        <f t="shared" si="31"/>
        <v>0.44117465831678415</v>
      </c>
      <c r="R91" s="15">
        <f t="shared" si="31"/>
        <v>0.46827285488579218</v>
      </c>
      <c r="U91" s="13">
        <v>60</v>
      </c>
      <c r="V91" s="31">
        <v>0.31321481571904997</v>
      </c>
      <c r="W91" s="31">
        <v>0.33626783290810763</v>
      </c>
      <c r="X91" s="31">
        <v>0.36071449320137489</v>
      </c>
      <c r="Y91" s="31">
        <v>0.3818258893886764</v>
      </c>
      <c r="Z91" s="31">
        <v>0.39994033220041852</v>
      </c>
      <c r="AA91" s="31">
        <v>0.41859564294980289</v>
      </c>
      <c r="AB91" s="31">
        <v>0.44117465831678415</v>
      </c>
      <c r="AC91" s="15">
        <v>0.46827285488579218</v>
      </c>
    </row>
    <row r="92" spans="1:29" x14ac:dyDescent="0.25">
      <c r="A92" t="s">
        <v>5</v>
      </c>
      <c r="B92" s="24">
        <v>30</v>
      </c>
      <c r="C92" s="20">
        <v>100</v>
      </c>
      <c r="D92">
        <v>0</v>
      </c>
      <c r="E92">
        <v>3</v>
      </c>
      <c r="F92" s="1">
        <v>1.1640954838962063</v>
      </c>
      <c r="G92" s="1">
        <v>-2.641968672748197</v>
      </c>
      <c r="H92" s="1">
        <v>-2.100214421747467</v>
      </c>
      <c r="J92" s="13">
        <v>70</v>
      </c>
      <c r="K92" s="31">
        <f t="shared" ref="K92:R92" si="32">K65/(K65+K74)</f>
        <v>0.25699471412880764</v>
      </c>
      <c r="L92" s="31">
        <f t="shared" si="32"/>
        <v>0.27852546134503336</v>
      </c>
      <c r="M92" s="31">
        <f t="shared" si="32"/>
        <v>0.30574291618359051</v>
      </c>
      <c r="N92" s="31">
        <f t="shared" si="32"/>
        <v>0.3317959998082517</v>
      </c>
      <c r="O92" s="31">
        <f t="shared" si="32"/>
        <v>0.35496265881697531</v>
      </c>
      <c r="P92" s="31">
        <f t="shared" si="32"/>
        <v>0.37756463829891834</v>
      </c>
      <c r="Q92" s="31">
        <f t="shared" si="32"/>
        <v>0.4026702469768394</v>
      </c>
      <c r="R92" s="15">
        <f t="shared" si="32"/>
        <v>0.43128576340930902</v>
      </c>
      <c r="U92" s="13">
        <v>70</v>
      </c>
      <c r="V92" s="31">
        <v>0.25699471412880764</v>
      </c>
      <c r="W92" s="31">
        <v>0.27852546134503336</v>
      </c>
      <c r="X92" s="31">
        <v>0.30574291618359051</v>
      </c>
      <c r="Y92" s="31">
        <v>0.3317959998082517</v>
      </c>
      <c r="Z92" s="31">
        <v>0.35496265881697531</v>
      </c>
      <c r="AA92" s="31">
        <v>0.37756463829891834</v>
      </c>
      <c r="AB92" s="31">
        <v>0.4026702469768394</v>
      </c>
      <c r="AC92" s="15">
        <v>0.43128576340930902</v>
      </c>
    </row>
    <row r="93" spans="1:29" ht="15.75" thickBot="1" x14ac:dyDescent="0.3">
      <c r="A93" t="s">
        <v>5</v>
      </c>
      <c r="B93" s="24">
        <v>40</v>
      </c>
      <c r="C93" s="20">
        <v>100</v>
      </c>
      <c r="D93">
        <v>0</v>
      </c>
      <c r="E93">
        <v>3</v>
      </c>
      <c r="F93" s="1">
        <v>1.1595511650333048</v>
      </c>
      <c r="G93" s="1">
        <v>-2.4249324560015739</v>
      </c>
      <c r="H93" s="1">
        <v>-2.0887833603125512</v>
      </c>
      <c r="J93" s="16">
        <v>80</v>
      </c>
      <c r="K93" s="17">
        <f t="shared" ref="K93:R93" si="33">K66/(K66+K75)</f>
        <v>0.22098379010199881</v>
      </c>
      <c r="L93" s="17">
        <f t="shared" si="33"/>
        <v>0.23059698784563276</v>
      </c>
      <c r="M93" s="17">
        <f t="shared" si="33"/>
        <v>0.25085872823648186</v>
      </c>
      <c r="N93" s="17">
        <f t="shared" si="33"/>
        <v>0.27545174192328492</v>
      </c>
      <c r="O93" s="17">
        <f t="shared" si="33"/>
        <v>0.30107225959158768</v>
      </c>
      <c r="P93" s="17">
        <f t="shared" si="33"/>
        <v>0.32779261963992823</v>
      </c>
      <c r="Q93" s="17">
        <f t="shared" si="33"/>
        <v>0.35685281294716459</v>
      </c>
      <c r="R93" s="18">
        <f t="shared" si="33"/>
        <v>0.38834833297794269</v>
      </c>
      <c r="U93" s="16">
        <v>80</v>
      </c>
      <c r="V93" s="17">
        <v>0.22098379010199881</v>
      </c>
      <c r="W93" s="17">
        <v>0.23059698784563276</v>
      </c>
      <c r="X93" s="17">
        <v>0.25085872823648186</v>
      </c>
      <c r="Y93" s="17">
        <v>0.27545174192328492</v>
      </c>
      <c r="Z93" s="17">
        <v>0.30107225959158768</v>
      </c>
      <c r="AA93" s="17">
        <v>0.32779261963992823</v>
      </c>
      <c r="AB93" s="17">
        <v>0.35685281294716459</v>
      </c>
      <c r="AC93" s="18">
        <v>0.38834833297794269</v>
      </c>
    </row>
    <row r="94" spans="1:29" x14ac:dyDescent="0.25">
      <c r="A94" t="s">
        <v>5</v>
      </c>
      <c r="B94" s="24">
        <v>50</v>
      </c>
      <c r="C94" s="20">
        <v>100</v>
      </c>
      <c r="D94">
        <v>0</v>
      </c>
      <c r="E94">
        <v>3</v>
      </c>
      <c r="F94" s="1">
        <v>1.1566042645929782</v>
      </c>
      <c r="G94" s="1">
        <v>-2.1211071130155021</v>
      </c>
      <c r="H94" s="1">
        <v>-2.0874648056158307</v>
      </c>
    </row>
    <row r="95" spans="1:29" x14ac:dyDescent="0.25">
      <c r="A95" t="s">
        <v>5</v>
      </c>
      <c r="B95" s="24">
        <v>60</v>
      </c>
      <c r="C95" s="20">
        <v>100</v>
      </c>
      <c r="D95">
        <v>0</v>
      </c>
      <c r="E95">
        <v>3</v>
      </c>
      <c r="F95" s="1">
        <v>1.1551005663028142</v>
      </c>
      <c r="G95" s="1">
        <v>-1.8274609226062206</v>
      </c>
      <c r="H95" s="1">
        <v>-2.075094827826768</v>
      </c>
    </row>
    <row r="96" spans="1:29" x14ac:dyDescent="0.25">
      <c r="A96" t="s">
        <v>5</v>
      </c>
      <c r="B96" s="24">
        <v>70</v>
      </c>
      <c r="C96" s="20">
        <v>100</v>
      </c>
      <c r="D96">
        <v>0</v>
      </c>
      <c r="E96">
        <v>3</v>
      </c>
      <c r="F96" s="1">
        <v>1.1517283199477304</v>
      </c>
      <c r="G96" s="1">
        <v>-1.5583400967124856</v>
      </c>
      <c r="H96" s="1">
        <v>-2.0549025116078656</v>
      </c>
    </row>
    <row r="97" spans="1:29" ht="15.75" thickBot="1" x14ac:dyDescent="0.3">
      <c r="A97" t="s">
        <v>5</v>
      </c>
      <c r="B97" s="24">
        <v>80</v>
      </c>
      <c r="C97" s="20">
        <v>100</v>
      </c>
      <c r="D97">
        <v>0</v>
      </c>
      <c r="E97">
        <v>3</v>
      </c>
      <c r="F97" s="1">
        <v>1.1446561742939294</v>
      </c>
      <c r="G97" s="1">
        <v>-1.3019936572750732</v>
      </c>
      <c r="H97" s="1">
        <v>-2.0506502109014475</v>
      </c>
      <c r="J97" s="29" t="s">
        <v>16</v>
      </c>
      <c r="K97" s="19" t="s">
        <v>15</v>
      </c>
      <c r="U97" s="29" t="s">
        <v>16</v>
      </c>
      <c r="V97" s="19" t="s">
        <v>15</v>
      </c>
    </row>
    <row r="98" spans="1:29" x14ac:dyDescent="0.25">
      <c r="A98" s="3" t="s">
        <v>5</v>
      </c>
      <c r="B98" s="24">
        <v>30</v>
      </c>
      <c r="C98" s="20">
        <v>30</v>
      </c>
      <c r="D98" s="3">
        <v>-0.8</v>
      </c>
      <c r="E98" s="3">
        <v>3</v>
      </c>
      <c r="F98" s="4">
        <v>1.0413178846047439</v>
      </c>
      <c r="G98" s="4">
        <v>-1.8862123317855861</v>
      </c>
      <c r="H98" s="4">
        <v>-2.0733160822147521</v>
      </c>
      <c r="J98" s="5" t="s">
        <v>9</v>
      </c>
      <c r="K98" s="6" t="s">
        <v>10</v>
      </c>
      <c r="L98" s="7"/>
      <c r="M98" s="8"/>
      <c r="N98" s="8"/>
      <c r="O98" s="8"/>
      <c r="P98" s="8"/>
      <c r="Q98" s="8"/>
      <c r="R98" s="9"/>
      <c r="U98" s="5" t="s">
        <v>9</v>
      </c>
      <c r="V98" s="6" t="s">
        <v>10</v>
      </c>
      <c r="W98" s="7"/>
      <c r="X98" s="8"/>
      <c r="Y98" s="8"/>
      <c r="Z98" s="8"/>
      <c r="AA98" s="8"/>
      <c r="AB98" s="8"/>
      <c r="AC98" s="9"/>
    </row>
    <row r="99" spans="1:29" x14ac:dyDescent="0.25">
      <c r="A99" s="3" t="s">
        <v>5</v>
      </c>
      <c r="B99" s="24">
        <v>40</v>
      </c>
      <c r="C99" s="20">
        <v>30</v>
      </c>
      <c r="D99" s="3">
        <v>-0.8</v>
      </c>
      <c r="E99" s="3">
        <v>3</v>
      </c>
      <c r="F99" s="4">
        <v>1.0364005470004547</v>
      </c>
      <c r="G99" s="4">
        <v>-1.6026149381263251</v>
      </c>
      <c r="H99" s="4">
        <v>-2.082374525666836</v>
      </c>
      <c r="J99" s="10" t="s">
        <v>11</v>
      </c>
      <c r="K99" s="11">
        <v>30</v>
      </c>
      <c r="L99" s="11">
        <v>40</v>
      </c>
      <c r="M99" s="11">
        <v>50</v>
      </c>
      <c r="N99" s="11">
        <v>60</v>
      </c>
      <c r="O99" s="11">
        <v>70</v>
      </c>
      <c r="P99" s="11">
        <v>80</v>
      </c>
      <c r="Q99" s="11">
        <v>90</v>
      </c>
      <c r="R99" s="12">
        <v>100</v>
      </c>
      <c r="U99" s="10" t="s">
        <v>11</v>
      </c>
      <c r="V99" s="11">
        <v>30</v>
      </c>
      <c r="W99" s="11">
        <v>40</v>
      </c>
      <c r="X99" s="11">
        <v>50</v>
      </c>
      <c r="Y99" s="11">
        <v>60</v>
      </c>
      <c r="Z99" s="11">
        <v>70</v>
      </c>
      <c r="AA99" s="11">
        <v>80</v>
      </c>
      <c r="AB99" s="11">
        <v>90</v>
      </c>
      <c r="AC99" s="12">
        <v>100</v>
      </c>
    </row>
    <row r="100" spans="1:29" x14ac:dyDescent="0.25">
      <c r="A100" s="3" t="s">
        <v>5</v>
      </c>
      <c r="B100" s="24">
        <v>50</v>
      </c>
      <c r="C100" s="20">
        <v>30</v>
      </c>
      <c r="D100" s="3">
        <v>-0.8</v>
      </c>
      <c r="E100" s="3">
        <v>3</v>
      </c>
      <c r="F100" s="4">
        <v>1.0345683264641685</v>
      </c>
      <c r="G100" s="4">
        <v>-1.286829009697479</v>
      </c>
      <c r="H100" s="4">
        <v>-2.1087322481895709</v>
      </c>
      <c r="J100" s="13">
        <v>30</v>
      </c>
      <c r="K100" s="14">
        <f>F98</f>
        <v>1.0413178846047439</v>
      </c>
      <c r="L100" s="14">
        <f>F104</f>
        <v>1.0573925384959366</v>
      </c>
      <c r="M100" s="14">
        <f>F110</f>
        <v>1.0777212457796004</v>
      </c>
      <c r="N100" s="14">
        <f>F116</f>
        <v>1.0997209995292854</v>
      </c>
      <c r="O100" s="14">
        <f>F122</f>
        <v>1.1207524025055415</v>
      </c>
      <c r="P100" s="14">
        <f>F128</f>
        <v>1.1389134831650771</v>
      </c>
      <c r="Q100" s="14">
        <f>F134</f>
        <v>1.1531371042732308</v>
      </c>
      <c r="R100" s="15">
        <f>F140</f>
        <v>1.1626759516911576</v>
      </c>
      <c r="U100" s="13">
        <v>30</v>
      </c>
      <c r="V100" s="14">
        <v>1.0413178846047439</v>
      </c>
      <c r="W100" s="14">
        <v>1.0573925384959366</v>
      </c>
      <c r="X100" s="14">
        <v>1.0777212457796004</v>
      </c>
      <c r="Y100" s="14">
        <v>1.0997209995292854</v>
      </c>
      <c r="Z100" s="14">
        <v>1.1207524025055415</v>
      </c>
      <c r="AA100" s="14">
        <v>1.1389134831650771</v>
      </c>
      <c r="AB100" s="14">
        <v>1.1531371042732308</v>
      </c>
      <c r="AC100" s="15">
        <v>1.1626759516911576</v>
      </c>
    </row>
    <row r="101" spans="1:29" x14ac:dyDescent="0.25">
      <c r="A101" s="3" t="s">
        <v>5</v>
      </c>
      <c r="B101" s="24">
        <v>60</v>
      </c>
      <c r="C101" s="20">
        <v>30</v>
      </c>
      <c r="D101" s="3">
        <v>-0.8</v>
      </c>
      <c r="E101" s="3">
        <v>3</v>
      </c>
      <c r="F101" s="4">
        <v>1.0331697173891954</v>
      </c>
      <c r="G101" s="4">
        <v>-0.98374481463283026</v>
      </c>
      <c r="H101" s="4">
        <v>-2.1239299140277157</v>
      </c>
      <c r="J101" s="13">
        <v>40</v>
      </c>
      <c r="K101" s="14">
        <f>F99</f>
        <v>1.0364005470004547</v>
      </c>
      <c r="L101" s="14">
        <f>F105</f>
        <v>1.0539752298321807</v>
      </c>
      <c r="M101" s="14">
        <f>F111</f>
        <v>1.0745079387563687</v>
      </c>
      <c r="N101" s="14">
        <f t="shared" ref="N101:N104" si="34">F117</f>
        <v>1.0955953750315626</v>
      </c>
      <c r="O101" s="14">
        <f>F123</f>
        <v>1.1154713055180874</v>
      </c>
      <c r="P101" s="14">
        <f>F129</f>
        <v>1.1333240169032235</v>
      </c>
      <c r="Q101" s="14">
        <f>F135</f>
        <v>1.1487869012254637</v>
      </c>
      <c r="R101" s="15">
        <f>F141</f>
        <v>1.1610557806728692</v>
      </c>
      <c r="U101" s="13">
        <v>40</v>
      </c>
      <c r="V101" s="14">
        <v>1.0364005470004547</v>
      </c>
      <c r="W101" s="14">
        <v>1.0539752298321807</v>
      </c>
      <c r="X101" s="14">
        <v>1.0745079387563687</v>
      </c>
      <c r="Y101" s="14">
        <v>1.0955953750315626</v>
      </c>
      <c r="Z101" s="14">
        <v>1.1154713055180874</v>
      </c>
      <c r="AA101" s="14">
        <v>1.1333240169032235</v>
      </c>
      <c r="AB101" s="14">
        <v>1.1487869012254637</v>
      </c>
      <c r="AC101" s="15">
        <v>1.1610557806728692</v>
      </c>
    </row>
    <row r="102" spans="1:29" x14ac:dyDescent="0.25">
      <c r="A102" s="3" t="s">
        <v>5</v>
      </c>
      <c r="B102" s="24">
        <v>70</v>
      </c>
      <c r="C102" s="20">
        <v>30</v>
      </c>
      <c r="D102" s="3">
        <v>-0.8</v>
      </c>
      <c r="E102" s="3">
        <v>3</v>
      </c>
      <c r="F102" s="4">
        <v>1.0303811055050911</v>
      </c>
      <c r="G102" s="4">
        <v>-0.7399397992742327</v>
      </c>
      <c r="H102" s="4">
        <v>-2.1046399055801341</v>
      </c>
      <c r="J102" s="13">
        <v>50</v>
      </c>
      <c r="K102" s="14">
        <f>F100</f>
        <v>1.0345683264641685</v>
      </c>
      <c r="L102" s="14">
        <f>F106</f>
        <v>1.0536356885973097</v>
      </c>
      <c r="M102" s="14">
        <f>F112</f>
        <v>1.0745470861300372</v>
      </c>
      <c r="N102" s="14">
        <f t="shared" si="34"/>
        <v>1.0949884757125041</v>
      </c>
      <c r="O102" s="14">
        <f>F124</f>
        <v>1.1137314615047271</v>
      </c>
      <c r="P102" s="14">
        <f>F130</f>
        <v>1.1305998470511223</v>
      </c>
      <c r="Q102" s="14">
        <f>F136</f>
        <v>1.1456177395448528</v>
      </c>
      <c r="R102" s="15">
        <f>F142</f>
        <v>1.1580069976516132</v>
      </c>
      <c r="U102" s="13">
        <v>50</v>
      </c>
      <c r="V102" s="14">
        <v>1.0345683264641685</v>
      </c>
      <c r="W102" s="14">
        <v>1.0536356885973097</v>
      </c>
      <c r="X102" s="14">
        <v>1.0745470861300372</v>
      </c>
      <c r="Y102" s="14">
        <v>1.0949884757125041</v>
      </c>
      <c r="Z102" s="14">
        <v>1.1137314615047271</v>
      </c>
      <c r="AA102" s="14">
        <v>1.1305998470511223</v>
      </c>
      <c r="AB102" s="14">
        <v>1.1456177395448528</v>
      </c>
      <c r="AC102" s="15">
        <v>1.1580069976516132</v>
      </c>
    </row>
    <row r="103" spans="1:29" x14ac:dyDescent="0.25">
      <c r="A103" s="3" t="s">
        <v>5</v>
      </c>
      <c r="B103" s="24">
        <v>80</v>
      </c>
      <c r="C103" s="20">
        <v>30</v>
      </c>
      <c r="D103" s="3">
        <v>-0.8</v>
      </c>
      <c r="E103" s="3">
        <v>3</v>
      </c>
      <c r="F103" s="4">
        <v>1.028271315135886</v>
      </c>
      <c r="G103" s="4">
        <v>-0.60861384614091141</v>
      </c>
      <c r="H103" s="4">
        <v>-2.0571943974324509</v>
      </c>
      <c r="J103" s="13">
        <v>60</v>
      </c>
      <c r="K103" s="14">
        <f>F101</f>
        <v>1.0331697173891954</v>
      </c>
      <c r="L103" s="14">
        <f>F107</f>
        <v>1.0525138750350451</v>
      </c>
      <c r="M103" s="14">
        <f>F113</f>
        <v>1.0735137152585414</v>
      </c>
      <c r="N103" s="14">
        <f t="shared" si="34"/>
        <v>1.0939146044965573</v>
      </c>
      <c r="O103" s="14">
        <f>F125</f>
        <v>1.1124998451038144</v>
      </c>
      <c r="P103" s="14">
        <f>F131</f>
        <v>1.1289641542962865</v>
      </c>
      <c r="Q103" s="14">
        <f>F137</f>
        <v>1.1431299660996184</v>
      </c>
      <c r="R103" s="15">
        <f>F143</f>
        <v>1.1541446469918191</v>
      </c>
      <c r="U103" s="13">
        <v>60</v>
      </c>
      <c r="V103" s="14">
        <v>1.0331697173891954</v>
      </c>
      <c r="W103" s="14">
        <v>1.0525138750350451</v>
      </c>
      <c r="X103" s="14">
        <v>1.0735137152585414</v>
      </c>
      <c r="Y103" s="14">
        <v>1.0939146044965573</v>
      </c>
      <c r="Z103" s="14">
        <v>1.1124998451038144</v>
      </c>
      <c r="AA103" s="14">
        <v>1.1289641542962865</v>
      </c>
      <c r="AB103" s="14">
        <v>1.1431299660996184</v>
      </c>
      <c r="AC103" s="15">
        <v>1.1541446469918191</v>
      </c>
    </row>
    <row r="104" spans="1:29" x14ac:dyDescent="0.25">
      <c r="A104" s="3" t="s">
        <v>5</v>
      </c>
      <c r="B104" s="24">
        <v>30</v>
      </c>
      <c r="C104" s="20">
        <v>40</v>
      </c>
      <c r="D104" s="3">
        <v>-0.8</v>
      </c>
      <c r="E104" s="3">
        <v>3</v>
      </c>
      <c r="F104" s="4">
        <v>1.0573925384959366</v>
      </c>
      <c r="G104" s="4">
        <v>-2.0221750162441494</v>
      </c>
      <c r="H104" s="4">
        <v>-2.1019600858538396</v>
      </c>
      <c r="J104" s="13">
        <v>70</v>
      </c>
      <c r="K104" s="14">
        <f>F102</f>
        <v>1.0303811055050911</v>
      </c>
      <c r="L104" s="14">
        <f>F108</f>
        <v>1.0478857193823967</v>
      </c>
      <c r="M104" s="14">
        <f>F114</f>
        <v>1.067782526340235</v>
      </c>
      <c r="N104" s="14">
        <f t="shared" si="34"/>
        <v>1.0880241863847364</v>
      </c>
      <c r="O104" s="14">
        <f>F126</f>
        <v>1.1071173393886906</v>
      </c>
      <c r="P104" s="14">
        <f>F132</f>
        <v>1.124095515948947</v>
      </c>
      <c r="Q104" s="14">
        <f>F138</f>
        <v>1.1380951617176409</v>
      </c>
      <c r="R104" s="15">
        <f>F144</f>
        <v>1.1479660246448344</v>
      </c>
      <c r="U104" s="13">
        <v>70</v>
      </c>
      <c r="V104" s="14">
        <v>1.0303811055050911</v>
      </c>
      <c r="W104" s="14">
        <v>1.0478857193823967</v>
      </c>
      <c r="X104" s="14">
        <v>1.067782526340235</v>
      </c>
      <c r="Y104" s="14">
        <v>1.0880241863847364</v>
      </c>
      <c r="Z104" s="14">
        <v>1.1071173393886906</v>
      </c>
      <c r="AA104" s="14">
        <v>1.124095515948947</v>
      </c>
      <c r="AB104" s="14">
        <v>1.1380951617176409</v>
      </c>
      <c r="AC104" s="15">
        <v>1.1479660246448344</v>
      </c>
    </row>
    <row r="105" spans="1:29" ht="15.75" thickBot="1" x14ac:dyDescent="0.3">
      <c r="A105" s="3" t="s">
        <v>5</v>
      </c>
      <c r="B105" s="24">
        <v>40</v>
      </c>
      <c r="C105" s="20">
        <v>40</v>
      </c>
      <c r="D105" s="3">
        <v>-0.8</v>
      </c>
      <c r="E105" s="3">
        <v>3</v>
      </c>
      <c r="F105" s="4">
        <v>1.0539752298321807</v>
      </c>
      <c r="G105" s="4">
        <v>-1.724502312882354</v>
      </c>
      <c r="H105" s="4">
        <v>-2.1073368349121275</v>
      </c>
      <c r="J105" s="16">
        <v>80</v>
      </c>
      <c r="K105" s="17">
        <f>F103</f>
        <v>1.028271315135886</v>
      </c>
      <c r="L105" s="17">
        <f>F109</f>
        <v>1.0423282428893774</v>
      </c>
      <c r="M105" s="17">
        <f>F115</f>
        <v>1.0597215621942422</v>
      </c>
      <c r="N105" s="17">
        <f>F121</f>
        <v>1.07881374825301</v>
      </c>
      <c r="O105" s="17">
        <f>F127</f>
        <v>1.0979100735750829</v>
      </c>
      <c r="P105" s="17">
        <f>F133</f>
        <v>1.1153662142459095</v>
      </c>
      <c r="Q105" s="17">
        <f>F139</f>
        <v>1.129564895871078</v>
      </c>
      <c r="R105" s="18">
        <f>F145</f>
        <v>1.1389531325336788</v>
      </c>
      <c r="U105" s="16">
        <v>80</v>
      </c>
      <c r="V105" s="17">
        <v>1.028271315135886</v>
      </c>
      <c r="W105" s="17">
        <v>1.0423282428893774</v>
      </c>
      <c r="X105" s="17">
        <v>1.0597215621942422</v>
      </c>
      <c r="Y105" s="17">
        <v>1.07881374825301</v>
      </c>
      <c r="Z105" s="17">
        <v>1.0979100735750829</v>
      </c>
      <c r="AA105" s="17">
        <v>1.1153662142459095</v>
      </c>
      <c r="AB105" s="17">
        <v>1.129564895871078</v>
      </c>
      <c r="AC105" s="18">
        <v>1.1389531325336788</v>
      </c>
    </row>
    <row r="106" spans="1:29" ht="15.75" thickBot="1" x14ac:dyDescent="0.3">
      <c r="A106" s="3" t="s">
        <v>5</v>
      </c>
      <c r="B106" s="24">
        <v>50</v>
      </c>
      <c r="C106" s="20">
        <v>40</v>
      </c>
      <c r="D106" s="3">
        <v>-0.8</v>
      </c>
      <c r="E106" s="3">
        <v>3</v>
      </c>
      <c r="F106" s="4">
        <v>1.0536356885973097</v>
      </c>
      <c r="G106" s="4">
        <v>-1.3992502797398048</v>
      </c>
      <c r="H106" s="4">
        <v>-2.1296570823396967</v>
      </c>
    </row>
    <row r="107" spans="1:29" x14ac:dyDescent="0.25">
      <c r="A107" s="3" t="s">
        <v>5</v>
      </c>
      <c r="B107" s="24">
        <v>60</v>
      </c>
      <c r="C107" s="20">
        <v>40</v>
      </c>
      <c r="D107" s="3">
        <v>-0.8</v>
      </c>
      <c r="E107" s="3">
        <v>3</v>
      </c>
      <c r="F107" s="4">
        <v>1.0525138750350451</v>
      </c>
      <c r="G107" s="4">
        <v>-1.0851185842631059</v>
      </c>
      <c r="H107" s="4">
        <v>-2.1372244560778548</v>
      </c>
      <c r="J107" s="5" t="s">
        <v>12</v>
      </c>
      <c r="K107" s="6" t="s">
        <v>10</v>
      </c>
      <c r="L107" s="7"/>
      <c r="M107" s="8"/>
      <c r="N107" s="8"/>
      <c r="O107" s="8"/>
      <c r="P107" s="8"/>
      <c r="Q107" s="8"/>
      <c r="R107" s="9"/>
      <c r="U107" s="5" t="s">
        <v>12</v>
      </c>
      <c r="V107" s="6" t="s">
        <v>10</v>
      </c>
      <c r="W107" s="7"/>
      <c r="X107" s="8"/>
      <c r="Y107" s="8"/>
      <c r="Z107" s="8"/>
      <c r="AA107" s="8"/>
      <c r="AB107" s="8"/>
      <c r="AC107" s="9"/>
    </row>
    <row r="108" spans="1:29" x14ac:dyDescent="0.25">
      <c r="A108" s="3" t="s">
        <v>5</v>
      </c>
      <c r="B108" s="24">
        <v>70</v>
      </c>
      <c r="C108" s="20">
        <v>40</v>
      </c>
      <c r="D108" s="3">
        <v>-0.8</v>
      </c>
      <c r="E108" s="3">
        <v>3</v>
      </c>
      <c r="F108" s="4">
        <v>1.0478857193823967</v>
      </c>
      <c r="G108" s="4">
        <v>-0.81340102691216765</v>
      </c>
      <c r="H108" s="4">
        <v>-2.110431074948294</v>
      </c>
      <c r="J108" s="10" t="s">
        <v>11</v>
      </c>
      <c r="K108" s="11">
        <v>30</v>
      </c>
      <c r="L108" s="11">
        <v>40</v>
      </c>
      <c r="M108" s="11">
        <v>50</v>
      </c>
      <c r="N108" s="11">
        <v>60</v>
      </c>
      <c r="O108" s="11">
        <v>70</v>
      </c>
      <c r="P108" s="11">
        <v>80</v>
      </c>
      <c r="Q108" s="11">
        <v>90</v>
      </c>
      <c r="R108" s="12">
        <v>100</v>
      </c>
      <c r="U108" s="10" t="s">
        <v>11</v>
      </c>
      <c r="V108" s="11">
        <v>30</v>
      </c>
      <c r="W108" s="11">
        <v>40</v>
      </c>
      <c r="X108" s="11">
        <v>50</v>
      </c>
      <c r="Y108" s="11">
        <v>60</v>
      </c>
      <c r="Z108" s="11">
        <v>70</v>
      </c>
      <c r="AA108" s="11">
        <v>80</v>
      </c>
      <c r="AB108" s="11">
        <v>90</v>
      </c>
      <c r="AC108" s="12">
        <v>100</v>
      </c>
    </row>
    <row r="109" spans="1:29" x14ac:dyDescent="0.25">
      <c r="A109" s="3" t="s">
        <v>5</v>
      </c>
      <c r="B109" s="24">
        <v>80</v>
      </c>
      <c r="C109" s="20">
        <v>40</v>
      </c>
      <c r="D109" s="3">
        <v>-0.8</v>
      </c>
      <c r="E109" s="3">
        <v>3</v>
      </c>
      <c r="F109" s="4">
        <v>1.0423282428893774</v>
      </c>
      <c r="G109" s="4">
        <v>-0.63360736674165996</v>
      </c>
      <c r="H109" s="4">
        <v>-2.0633038781258475</v>
      </c>
      <c r="J109" s="13">
        <v>30</v>
      </c>
      <c r="K109" s="14">
        <f>G98</f>
        <v>-1.8862123317855861</v>
      </c>
      <c r="L109" s="14">
        <f>G104</f>
        <v>-2.0221750162441494</v>
      </c>
      <c r="M109" s="14">
        <f>G110</f>
        <v>-2.1538801347729608</v>
      </c>
      <c r="N109" s="14">
        <f>G116</f>
        <v>-2.2714999686651565</v>
      </c>
      <c r="O109" s="14">
        <f>G122</f>
        <v>-2.3722345484965657</v>
      </c>
      <c r="P109" s="14">
        <f>G128</f>
        <v>-2.4581310283115099</v>
      </c>
      <c r="Q109" s="14">
        <f>G134</f>
        <v>-2.5289302408449701</v>
      </c>
      <c r="R109" s="15">
        <f>G140</f>
        <v>-2.5756592988654292</v>
      </c>
      <c r="U109" s="13">
        <v>30</v>
      </c>
      <c r="V109" s="14">
        <v>1.8862123317855861</v>
      </c>
      <c r="W109" s="14">
        <v>2.0221750162441494</v>
      </c>
      <c r="X109" s="14">
        <v>2.1538801347729608</v>
      </c>
      <c r="Y109" s="14">
        <v>2.2714999686651565</v>
      </c>
      <c r="Z109" s="14">
        <v>2.3722345484965657</v>
      </c>
      <c r="AA109" s="14">
        <v>2.4581310283115099</v>
      </c>
      <c r="AB109" s="14">
        <v>2.5289302408449701</v>
      </c>
      <c r="AC109" s="15">
        <v>2.5756592988654292</v>
      </c>
    </row>
    <row r="110" spans="1:29" x14ac:dyDescent="0.25">
      <c r="A110" s="3" t="s">
        <v>5</v>
      </c>
      <c r="B110" s="24">
        <v>30</v>
      </c>
      <c r="C110" s="20">
        <v>50</v>
      </c>
      <c r="D110" s="3">
        <v>-0.8</v>
      </c>
      <c r="E110" s="3">
        <v>3</v>
      </c>
      <c r="F110" s="4">
        <v>1.0777212457796004</v>
      </c>
      <c r="G110" s="4">
        <v>-2.1538801347729608</v>
      </c>
      <c r="H110" s="4">
        <v>-2.135133122930156</v>
      </c>
      <c r="J110" s="13">
        <v>40</v>
      </c>
      <c r="K110" s="14">
        <f t="shared" ref="K110:K114" si="35">G99</f>
        <v>-1.6026149381263251</v>
      </c>
      <c r="L110" s="14">
        <f t="shared" ref="L110:L114" si="36">G105</f>
        <v>-1.724502312882354</v>
      </c>
      <c r="M110" s="14">
        <f>G111</f>
        <v>-1.8547924587876774</v>
      </c>
      <c r="N110" s="14">
        <f>G117</f>
        <v>-1.9812160453279981</v>
      </c>
      <c r="O110" s="14">
        <f t="shared" ref="O110:O114" si="37">G123</f>
        <v>-2.0985503325741859</v>
      </c>
      <c r="P110" s="14">
        <f t="shared" ref="P110:P114" si="38">G129</f>
        <v>-2.207375961001536</v>
      </c>
      <c r="Q110" s="14">
        <f>G135</f>
        <v>-2.3066360365556857</v>
      </c>
      <c r="R110" s="15">
        <f>G141</f>
        <v>-2.386254183079151</v>
      </c>
      <c r="U110" s="13">
        <v>40</v>
      </c>
      <c r="V110" s="14">
        <v>1.6026149381263251</v>
      </c>
      <c r="W110" s="14">
        <v>1.724502312882354</v>
      </c>
      <c r="X110" s="14">
        <v>1.8547924587876774</v>
      </c>
      <c r="Y110" s="14">
        <v>1.9812160453279981</v>
      </c>
      <c r="Z110" s="14">
        <v>2.0985503325741859</v>
      </c>
      <c r="AA110" s="14">
        <v>2.207375961001536</v>
      </c>
      <c r="AB110" s="14">
        <v>2.3066360365556857</v>
      </c>
      <c r="AC110" s="15">
        <v>2.386254183079151</v>
      </c>
    </row>
    <row r="111" spans="1:29" x14ac:dyDescent="0.25">
      <c r="A111" s="3" t="s">
        <v>5</v>
      </c>
      <c r="B111" s="24">
        <v>40</v>
      </c>
      <c r="C111" s="20">
        <v>50</v>
      </c>
      <c r="D111" s="3">
        <v>-0.8</v>
      </c>
      <c r="E111" s="3">
        <v>3</v>
      </c>
      <c r="F111" s="4">
        <v>1.0745079387563687</v>
      </c>
      <c r="G111" s="4">
        <v>-1.8547924587876774</v>
      </c>
      <c r="H111" s="4">
        <v>-2.1416161451537752</v>
      </c>
      <c r="J111" s="13">
        <v>50</v>
      </c>
      <c r="K111" s="14">
        <f t="shared" si="35"/>
        <v>-1.286829009697479</v>
      </c>
      <c r="L111" s="14">
        <f t="shared" si="36"/>
        <v>-1.3992502797398048</v>
      </c>
      <c r="M111" s="14">
        <f>G112</f>
        <v>-1.5330476006894422</v>
      </c>
      <c r="N111" s="14">
        <f>G118</f>
        <v>-1.6696603676834627</v>
      </c>
      <c r="O111" s="14">
        <f t="shared" si="37"/>
        <v>-1.7975366954238527</v>
      </c>
      <c r="P111" s="14">
        <f t="shared" si="38"/>
        <v>-1.9136477424345835</v>
      </c>
      <c r="Q111" s="14">
        <f>G136</f>
        <v>-2.0173384547117621</v>
      </c>
      <c r="R111" s="15">
        <f>G142</f>
        <v>-2.1023129633087825</v>
      </c>
      <c r="U111" s="13">
        <v>50</v>
      </c>
      <c r="V111" s="14">
        <v>1.286829009697479</v>
      </c>
      <c r="W111" s="14">
        <v>1.3992502797398048</v>
      </c>
      <c r="X111" s="14">
        <v>1.5330476006894422</v>
      </c>
      <c r="Y111" s="14">
        <v>1.6696603676834627</v>
      </c>
      <c r="Z111" s="14">
        <v>1.7975366954238527</v>
      </c>
      <c r="AA111" s="14">
        <v>1.9136477424345835</v>
      </c>
      <c r="AB111" s="14">
        <v>2.0173384547117621</v>
      </c>
      <c r="AC111" s="15">
        <v>2.1023129633087825</v>
      </c>
    </row>
    <row r="112" spans="1:29" x14ac:dyDescent="0.25">
      <c r="A112" s="3" t="s">
        <v>5</v>
      </c>
      <c r="B112" s="24">
        <v>50</v>
      </c>
      <c r="C112" s="20">
        <v>50</v>
      </c>
      <c r="D112" s="3">
        <v>-0.8</v>
      </c>
      <c r="E112" s="3">
        <v>3</v>
      </c>
      <c r="F112" s="4">
        <v>1.0745470861300372</v>
      </c>
      <c r="G112" s="4">
        <v>-1.5330476006894422</v>
      </c>
      <c r="H112" s="4">
        <v>-2.1644498750911176</v>
      </c>
      <c r="J112" s="13">
        <v>60</v>
      </c>
      <c r="K112" s="14">
        <f t="shared" si="35"/>
        <v>-0.98374481463283026</v>
      </c>
      <c r="L112" s="14">
        <f t="shared" si="36"/>
        <v>-1.0851185842631059</v>
      </c>
      <c r="M112" s="14">
        <f>G113</f>
        <v>-1.2217011846078534</v>
      </c>
      <c r="N112" s="14">
        <f>G119</f>
        <v>-1.3687803332824102</v>
      </c>
      <c r="O112" s="14">
        <f t="shared" si="37"/>
        <v>-1.5072994807821756</v>
      </c>
      <c r="P112" s="14">
        <f t="shared" si="38"/>
        <v>-1.6285217066632764</v>
      </c>
      <c r="Q112" s="14">
        <f>G137</f>
        <v>-1.7304225763985626</v>
      </c>
      <c r="R112" s="15">
        <f>G143</f>
        <v>-1.8103959196434876</v>
      </c>
      <c r="U112" s="13">
        <v>60</v>
      </c>
      <c r="V112" s="14">
        <v>0.98374481463283026</v>
      </c>
      <c r="W112" s="14">
        <v>1.0851185842631059</v>
      </c>
      <c r="X112" s="14">
        <v>1.2217011846078534</v>
      </c>
      <c r="Y112" s="14">
        <v>1.3687803332824102</v>
      </c>
      <c r="Z112" s="14">
        <v>1.5072994807821756</v>
      </c>
      <c r="AA112" s="14">
        <v>1.6285217066632764</v>
      </c>
      <c r="AB112" s="14">
        <v>1.7304225763985626</v>
      </c>
      <c r="AC112" s="15">
        <v>1.8103959196434876</v>
      </c>
    </row>
    <row r="113" spans="1:29" x14ac:dyDescent="0.25">
      <c r="A113" s="3" t="s">
        <v>5</v>
      </c>
      <c r="B113" s="24">
        <v>60</v>
      </c>
      <c r="C113" s="20">
        <v>50</v>
      </c>
      <c r="D113" s="3">
        <v>-0.8</v>
      </c>
      <c r="E113" s="3">
        <v>3</v>
      </c>
      <c r="F113" s="4">
        <v>1.0735137152585414</v>
      </c>
      <c r="G113" s="4">
        <v>-1.2217011846078534</v>
      </c>
      <c r="H113" s="4">
        <v>-2.1685519581956911</v>
      </c>
      <c r="J113" s="13">
        <v>70</v>
      </c>
      <c r="K113" s="14">
        <f t="shared" si="35"/>
        <v>-0.7399397992742327</v>
      </c>
      <c r="L113" s="14">
        <f t="shared" si="36"/>
        <v>-0.81340102691216765</v>
      </c>
      <c r="M113" s="14">
        <f>G114</f>
        <v>-0.93370160182618411</v>
      </c>
      <c r="N113" s="14">
        <f>G120</f>
        <v>-1.0758011114596944</v>
      </c>
      <c r="O113" s="14">
        <f t="shared" si="37"/>
        <v>-1.2174146072051253</v>
      </c>
      <c r="P113" s="14">
        <f t="shared" si="38"/>
        <v>-1.3450740034330606</v>
      </c>
      <c r="Q113" s="14">
        <f>G138</f>
        <v>-1.4529813010675725</v>
      </c>
      <c r="R113" s="15">
        <f>G144</f>
        <v>-1.5379281223310859</v>
      </c>
      <c r="U113" s="13">
        <v>70</v>
      </c>
      <c r="V113" s="14">
        <v>0.7399397992742327</v>
      </c>
      <c r="W113" s="14">
        <v>0.81340102691216765</v>
      </c>
      <c r="X113" s="14">
        <v>0.93370160182618411</v>
      </c>
      <c r="Y113" s="14">
        <v>1.0758011114596944</v>
      </c>
      <c r="Z113" s="14">
        <v>1.2174146072051253</v>
      </c>
      <c r="AA113" s="14">
        <v>1.3450740034330606</v>
      </c>
      <c r="AB113" s="14">
        <v>1.4529813010675725</v>
      </c>
      <c r="AC113" s="15">
        <v>1.5379281223310859</v>
      </c>
    </row>
    <row r="114" spans="1:29" ht="15.75" thickBot="1" x14ac:dyDescent="0.3">
      <c r="A114" s="3" t="s">
        <v>5</v>
      </c>
      <c r="B114" s="24">
        <v>70</v>
      </c>
      <c r="C114" s="20">
        <v>50</v>
      </c>
      <c r="D114" s="3">
        <v>-0.8</v>
      </c>
      <c r="E114" s="3">
        <v>3</v>
      </c>
      <c r="F114" s="4">
        <v>1.067782526340235</v>
      </c>
      <c r="G114" s="4">
        <v>-0.93370160182618411</v>
      </c>
      <c r="H114" s="4">
        <v>-2.137791665615858</v>
      </c>
      <c r="J114" s="16">
        <v>80</v>
      </c>
      <c r="K114" s="17">
        <f t="shared" si="35"/>
        <v>-0.60861384614091141</v>
      </c>
      <c r="L114" s="17">
        <f t="shared" si="36"/>
        <v>-0.63360736674165996</v>
      </c>
      <c r="M114" s="17">
        <f>G115</f>
        <v>-0.70981140851134805</v>
      </c>
      <c r="N114" s="17">
        <f>G121</f>
        <v>-0.81964161098985455</v>
      </c>
      <c r="O114" s="17">
        <f t="shared" si="37"/>
        <v>-0.94491199769928191</v>
      </c>
      <c r="P114" s="17">
        <f t="shared" si="38"/>
        <v>-1.0716007396557719</v>
      </c>
      <c r="Q114" s="17">
        <f>G139</f>
        <v>-1.1899190011500118</v>
      </c>
      <c r="R114" s="18">
        <f>G145</f>
        <v>-1.2920555546233639</v>
      </c>
      <c r="U114" s="16">
        <v>80</v>
      </c>
      <c r="V114" s="17">
        <v>0.60861384614091141</v>
      </c>
      <c r="W114" s="17">
        <v>0.63360736674165996</v>
      </c>
      <c r="X114" s="17">
        <v>0.70981140851134805</v>
      </c>
      <c r="Y114" s="17">
        <v>0.81964161098985455</v>
      </c>
      <c r="Z114" s="17">
        <v>0.94491199769928191</v>
      </c>
      <c r="AA114" s="17">
        <v>1.0716007396557719</v>
      </c>
      <c r="AB114" s="17">
        <v>1.1899190011500118</v>
      </c>
      <c r="AC114" s="18">
        <v>1.2920555546233639</v>
      </c>
    </row>
    <row r="115" spans="1:29" ht="15.75" thickBot="1" x14ac:dyDescent="0.3">
      <c r="A115" s="3" t="s">
        <v>5</v>
      </c>
      <c r="B115" s="24">
        <v>80</v>
      </c>
      <c r="C115" s="20">
        <v>50</v>
      </c>
      <c r="D115" s="3">
        <v>-0.8</v>
      </c>
      <c r="E115" s="3">
        <v>3</v>
      </c>
      <c r="F115" s="4">
        <v>1.0597215621942422</v>
      </c>
      <c r="G115" s="4">
        <v>-0.70981140851134805</v>
      </c>
      <c r="H115" s="4">
        <v>-2.0928570623033074</v>
      </c>
    </row>
    <row r="116" spans="1:29" x14ac:dyDescent="0.25">
      <c r="A116" s="3" t="s">
        <v>5</v>
      </c>
      <c r="B116" s="24">
        <v>30</v>
      </c>
      <c r="C116" s="20">
        <v>60</v>
      </c>
      <c r="D116" s="3">
        <v>-0.8</v>
      </c>
      <c r="E116" s="3">
        <v>3</v>
      </c>
      <c r="F116" s="4">
        <v>1.0997209995292854</v>
      </c>
      <c r="G116" s="4">
        <v>-2.2714999686651565</v>
      </c>
      <c r="H116" s="4">
        <v>-2.1657643863494558</v>
      </c>
      <c r="J116" s="5" t="s">
        <v>13</v>
      </c>
      <c r="K116" s="6" t="s">
        <v>10</v>
      </c>
      <c r="L116" s="7"/>
      <c r="M116" s="8"/>
      <c r="N116" s="8"/>
      <c r="O116" s="8"/>
      <c r="P116" s="8"/>
      <c r="Q116" s="8"/>
      <c r="R116" s="9"/>
      <c r="U116" s="5" t="s">
        <v>13</v>
      </c>
      <c r="V116" s="6" t="s">
        <v>10</v>
      </c>
      <c r="W116" s="7"/>
      <c r="X116" s="8"/>
      <c r="Y116" s="8"/>
      <c r="Z116" s="8"/>
      <c r="AA116" s="8"/>
      <c r="AB116" s="8"/>
      <c r="AC116" s="9"/>
    </row>
    <row r="117" spans="1:29" x14ac:dyDescent="0.25">
      <c r="A117" s="3" t="s">
        <v>5</v>
      </c>
      <c r="B117" s="24">
        <v>40</v>
      </c>
      <c r="C117" s="20">
        <v>60</v>
      </c>
      <c r="D117" s="3">
        <v>-0.8</v>
      </c>
      <c r="E117" s="3">
        <v>3</v>
      </c>
      <c r="F117" s="4">
        <v>1.0955953750315626</v>
      </c>
      <c r="G117" s="4">
        <v>-1.9812160453279981</v>
      </c>
      <c r="H117" s="4">
        <v>-2.1781689629661876</v>
      </c>
      <c r="J117" s="10" t="s">
        <v>11</v>
      </c>
      <c r="K117" s="11">
        <v>30</v>
      </c>
      <c r="L117" s="11">
        <v>40</v>
      </c>
      <c r="M117" s="11">
        <v>50</v>
      </c>
      <c r="N117" s="11">
        <v>60</v>
      </c>
      <c r="O117" s="11">
        <v>70</v>
      </c>
      <c r="P117" s="11">
        <v>80</v>
      </c>
      <c r="Q117" s="11">
        <v>90</v>
      </c>
      <c r="R117" s="12">
        <v>100</v>
      </c>
      <c r="U117" s="10" t="s">
        <v>11</v>
      </c>
      <c r="V117" s="11">
        <v>30</v>
      </c>
      <c r="W117" s="11">
        <v>40</v>
      </c>
      <c r="X117" s="11">
        <v>50</v>
      </c>
      <c r="Y117" s="11">
        <v>60</v>
      </c>
      <c r="Z117" s="11">
        <v>70</v>
      </c>
      <c r="AA117" s="11">
        <v>80</v>
      </c>
      <c r="AB117" s="11">
        <v>90</v>
      </c>
      <c r="AC117" s="12">
        <v>100</v>
      </c>
    </row>
    <row r="118" spans="1:29" x14ac:dyDescent="0.25">
      <c r="A118" s="3" t="s">
        <v>5</v>
      </c>
      <c r="B118" s="24">
        <v>50</v>
      </c>
      <c r="C118" s="20">
        <v>60</v>
      </c>
      <c r="D118" s="3">
        <v>-0.8</v>
      </c>
      <c r="E118" s="3">
        <v>3</v>
      </c>
      <c r="F118" s="4">
        <v>1.0949884757125041</v>
      </c>
      <c r="G118" s="4">
        <v>-1.6696603676834627</v>
      </c>
      <c r="H118" s="4">
        <v>-2.206954402144925</v>
      </c>
      <c r="J118" s="13">
        <v>30</v>
      </c>
      <c r="K118" s="14">
        <f>H98</f>
        <v>-2.0733160822147521</v>
      </c>
      <c r="L118" s="14">
        <f>H104</f>
        <v>-2.1019600858538396</v>
      </c>
      <c r="M118" s="14">
        <f>H110</f>
        <v>-2.135133122930156</v>
      </c>
      <c r="N118" s="14">
        <f>H116</f>
        <v>-2.1657643863494558</v>
      </c>
      <c r="O118" s="14">
        <f>H122</f>
        <v>-2.1798048217813353</v>
      </c>
      <c r="P118" s="14">
        <f>H128</f>
        <v>-2.1632552037337582</v>
      </c>
      <c r="Q118" s="14">
        <f>H134</f>
        <v>-2.1108895931942993</v>
      </c>
      <c r="R118" s="15">
        <f>H140</f>
        <v>-2.030702592047136</v>
      </c>
      <c r="U118" s="13">
        <v>30</v>
      </c>
      <c r="V118" s="14">
        <v>2.0733160822147521</v>
      </c>
      <c r="W118" s="14">
        <v>2.1019600858538396</v>
      </c>
      <c r="X118" s="14">
        <v>2.135133122930156</v>
      </c>
      <c r="Y118" s="14">
        <v>2.1657643863494558</v>
      </c>
      <c r="Z118" s="14">
        <v>2.1798048217813353</v>
      </c>
      <c r="AA118" s="14">
        <v>2.1632552037337582</v>
      </c>
      <c r="AB118" s="14">
        <v>2.1108895931942993</v>
      </c>
      <c r="AC118" s="15">
        <v>2.030702592047136</v>
      </c>
    </row>
    <row r="119" spans="1:29" x14ac:dyDescent="0.25">
      <c r="A119" s="3" t="s">
        <v>5</v>
      </c>
      <c r="B119" s="24">
        <v>60</v>
      </c>
      <c r="C119" s="20">
        <v>60</v>
      </c>
      <c r="D119" s="3">
        <v>-0.8</v>
      </c>
      <c r="E119" s="3">
        <v>3</v>
      </c>
      <c r="F119" s="4">
        <v>1.0939146044965573</v>
      </c>
      <c r="G119" s="4">
        <v>-1.3687803332824102</v>
      </c>
      <c r="H119" s="4">
        <v>-2.2137204605934993</v>
      </c>
      <c r="J119" s="13">
        <v>40</v>
      </c>
      <c r="K119" s="14">
        <f>H99</f>
        <v>-2.082374525666836</v>
      </c>
      <c r="L119" s="14">
        <f>H105</f>
        <v>-2.1073368349121275</v>
      </c>
      <c r="M119" s="14">
        <f>H111</f>
        <v>-2.1416161451537752</v>
      </c>
      <c r="N119" s="14">
        <f>H117</f>
        <v>-2.1781689629661876</v>
      </c>
      <c r="O119" s="14">
        <f>H123</f>
        <v>-2.1991322343483204</v>
      </c>
      <c r="P119" s="14">
        <f>H129</f>
        <v>-2.184568898069899</v>
      </c>
      <c r="Q119" s="14">
        <f>H135</f>
        <v>-2.1247985352254646</v>
      </c>
      <c r="R119" s="15">
        <f>H141</f>
        <v>-2.0279053485986402</v>
      </c>
      <c r="U119" s="13">
        <v>40</v>
      </c>
      <c r="V119" s="14">
        <v>2.082374525666836</v>
      </c>
      <c r="W119" s="14">
        <v>2.1073368349121275</v>
      </c>
      <c r="X119" s="14">
        <v>2.1416161451537752</v>
      </c>
      <c r="Y119" s="14">
        <v>2.1781689629661876</v>
      </c>
      <c r="Z119" s="14">
        <v>2.1991322343483204</v>
      </c>
      <c r="AA119" s="14">
        <v>2.184568898069899</v>
      </c>
      <c r="AB119" s="14">
        <v>2.1247985352254646</v>
      </c>
      <c r="AC119" s="15">
        <v>2.0279053485986402</v>
      </c>
    </row>
    <row r="120" spans="1:29" x14ac:dyDescent="0.25">
      <c r="A120" s="3" t="s">
        <v>5</v>
      </c>
      <c r="B120" s="24">
        <v>70</v>
      </c>
      <c r="C120" s="20">
        <v>60</v>
      </c>
      <c r="D120" s="3">
        <v>-0.8</v>
      </c>
      <c r="E120" s="3">
        <v>3</v>
      </c>
      <c r="F120" s="4">
        <v>1.0880241863847364</v>
      </c>
      <c r="G120" s="4">
        <v>-1.0758011114596944</v>
      </c>
      <c r="H120" s="4">
        <v>-2.1845025064168193</v>
      </c>
      <c r="J120" s="13">
        <v>50</v>
      </c>
      <c r="K120" s="14">
        <f>H100</f>
        <v>-2.1087322481895709</v>
      </c>
      <c r="L120" s="14">
        <f>H106</f>
        <v>-2.1296570823396967</v>
      </c>
      <c r="M120" s="14">
        <f>H112</f>
        <v>-2.1644498750911176</v>
      </c>
      <c r="N120" s="14">
        <f>H118</f>
        <v>-2.206954402144925</v>
      </c>
      <c r="O120" s="14">
        <f>H124</f>
        <v>-2.2356292835850633</v>
      </c>
      <c r="P120" s="14">
        <f>H130</f>
        <v>-2.223734528207665</v>
      </c>
      <c r="Q120" s="14">
        <f>H136</f>
        <v>-2.1557234217396091</v>
      </c>
      <c r="R120" s="15">
        <f>H142</f>
        <v>-2.0387431253262949</v>
      </c>
      <c r="U120" s="13">
        <v>50</v>
      </c>
      <c r="V120" s="14">
        <v>2.1087322481895709</v>
      </c>
      <c r="W120" s="14">
        <v>2.1296570823396967</v>
      </c>
      <c r="X120" s="14">
        <v>2.1644498750911176</v>
      </c>
      <c r="Y120" s="14">
        <v>2.206954402144925</v>
      </c>
      <c r="Z120" s="14">
        <v>2.2356292835850633</v>
      </c>
      <c r="AA120" s="14">
        <v>2.223734528207665</v>
      </c>
      <c r="AB120" s="14">
        <v>2.1557234217396091</v>
      </c>
      <c r="AC120" s="15">
        <v>2.0387431253262949</v>
      </c>
    </row>
    <row r="121" spans="1:29" x14ac:dyDescent="0.25">
      <c r="A121" s="3" t="s">
        <v>5</v>
      </c>
      <c r="B121" s="24">
        <v>80</v>
      </c>
      <c r="C121" s="20">
        <v>60</v>
      </c>
      <c r="D121" s="3">
        <v>-0.8</v>
      </c>
      <c r="E121" s="3">
        <v>3</v>
      </c>
      <c r="F121" s="4">
        <v>1.07881374825301</v>
      </c>
      <c r="G121" s="4">
        <v>-0.81964161098985455</v>
      </c>
      <c r="H121" s="4">
        <v>-2.1441277313374751</v>
      </c>
      <c r="J121" s="13">
        <v>60</v>
      </c>
      <c r="K121" s="14">
        <f>H101</f>
        <v>-2.1239299140277157</v>
      </c>
      <c r="L121" s="14">
        <f>H107</f>
        <v>-2.1372244560778548</v>
      </c>
      <c r="M121" s="14">
        <f>H113</f>
        <v>-2.1685519581956911</v>
      </c>
      <c r="N121" s="14">
        <f>H119</f>
        <v>-2.2137204605934993</v>
      </c>
      <c r="O121" s="14">
        <f>H125</f>
        <v>-2.2489398753290004</v>
      </c>
      <c r="P121" s="14">
        <f>H131</f>
        <v>-2.2417311157599302</v>
      </c>
      <c r="Q121" s="14">
        <f>H137</f>
        <v>-2.1706604023161682</v>
      </c>
      <c r="R121" s="15">
        <f>H143</f>
        <v>-2.0406448109284212</v>
      </c>
      <c r="U121" s="13">
        <v>60</v>
      </c>
      <c r="V121" s="14">
        <v>2.1239299140277157</v>
      </c>
      <c r="W121" s="14">
        <v>2.1372244560778548</v>
      </c>
      <c r="X121" s="14">
        <v>2.1685519581956911</v>
      </c>
      <c r="Y121" s="14">
        <v>2.2137204605934993</v>
      </c>
      <c r="Z121" s="14">
        <v>2.2489398753290004</v>
      </c>
      <c r="AA121" s="14">
        <v>2.2417311157599302</v>
      </c>
      <c r="AB121" s="14">
        <v>2.1706604023161682</v>
      </c>
      <c r="AC121" s="15">
        <v>2.0406448109284212</v>
      </c>
    </row>
    <row r="122" spans="1:29" x14ac:dyDescent="0.25">
      <c r="A122" s="3" t="s">
        <v>5</v>
      </c>
      <c r="B122" s="24">
        <v>30</v>
      </c>
      <c r="C122" s="20">
        <v>70</v>
      </c>
      <c r="D122" s="3">
        <v>-0.8</v>
      </c>
      <c r="E122" s="3">
        <v>3</v>
      </c>
      <c r="F122" s="4">
        <v>1.1207524025055415</v>
      </c>
      <c r="G122" s="4">
        <v>-2.3722345484965657</v>
      </c>
      <c r="H122" s="4">
        <v>-2.1798048217813353</v>
      </c>
      <c r="J122" s="13">
        <v>70</v>
      </c>
      <c r="K122" s="14">
        <f>H102</f>
        <v>-2.1046399055801341</v>
      </c>
      <c r="L122" s="14">
        <f>H108</f>
        <v>-2.110431074948294</v>
      </c>
      <c r="M122" s="14">
        <f>H114</f>
        <v>-2.137791665615858</v>
      </c>
      <c r="N122" s="14">
        <f>H120</f>
        <v>-2.1845025064168193</v>
      </c>
      <c r="O122" s="14">
        <f>H126</f>
        <v>-2.2264117888149397</v>
      </c>
      <c r="P122" s="14">
        <f>H132</f>
        <v>-2.2281593180012291</v>
      </c>
      <c r="Q122" s="14">
        <f>H138</f>
        <v>-2.1642725193208325</v>
      </c>
      <c r="R122" s="15">
        <f>H144</f>
        <v>-2.0366213072160706</v>
      </c>
      <c r="U122" s="13">
        <v>70</v>
      </c>
      <c r="V122" s="14">
        <v>2.1046399055801341</v>
      </c>
      <c r="W122" s="14">
        <v>2.110431074948294</v>
      </c>
      <c r="X122" s="14">
        <v>2.137791665615858</v>
      </c>
      <c r="Y122" s="14">
        <v>2.1845025064168193</v>
      </c>
      <c r="Z122" s="14">
        <v>2.2264117888149397</v>
      </c>
      <c r="AA122" s="14">
        <v>2.2281593180012291</v>
      </c>
      <c r="AB122" s="14">
        <v>2.1642725193208325</v>
      </c>
      <c r="AC122" s="15">
        <v>2.0366213072160706</v>
      </c>
    </row>
    <row r="123" spans="1:29" ht="15.75" thickBot="1" x14ac:dyDescent="0.3">
      <c r="A123" s="3" t="s">
        <v>5</v>
      </c>
      <c r="B123" s="24">
        <v>40</v>
      </c>
      <c r="C123" s="20">
        <v>70</v>
      </c>
      <c r="D123" s="3">
        <v>-0.8</v>
      </c>
      <c r="E123" s="3">
        <v>3</v>
      </c>
      <c r="F123" s="4">
        <v>1.1154713055180874</v>
      </c>
      <c r="G123" s="4">
        <v>-2.0985503325741859</v>
      </c>
      <c r="H123" s="4">
        <v>-2.1991322343483204</v>
      </c>
      <c r="J123" s="16">
        <v>80</v>
      </c>
      <c r="K123" s="17">
        <f>H103</f>
        <v>-2.0571943974324509</v>
      </c>
      <c r="L123" s="17">
        <f>H109</f>
        <v>-2.0633038781258475</v>
      </c>
      <c r="M123" s="17">
        <f>H115</f>
        <v>-2.0928570623033074</v>
      </c>
      <c r="N123" s="17">
        <f>H121</f>
        <v>-2.1441277313374751</v>
      </c>
      <c r="O123" s="17">
        <f>H127</f>
        <v>-2.1940985408242044</v>
      </c>
      <c r="P123" s="17">
        <f>H133</f>
        <v>-2.2082188128824063</v>
      </c>
      <c r="Q123" s="17">
        <f>H139</f>
        <v>-2.1602895313395849</v>
      </c>
      <c r="R123" s="18">
        <f>H145</f>
        <v>-2.0494946985480169</v>
      </c>
      <c r="U123" s="16">
        <v>80</v>
      </c>
      <c r="V123" s="17">
        <v>2.0571943974324509</v>
      </c>
      <c r="W123" s="17">
        <v>2.0633038781258475</v>
      </c>
      <c r="X123" s="17">
        <v>2.0928570623033074</v>
      </c>
      <c r="Y123" s="17">
        <v>2.1441277313374751</v>
      </c>
      <c r="Z123" s="17">
        <v>2.1940985408242044</v>
      </c>
      <c r="AA123" s="17">
        <v>2.2082188128824063</v>
      </c>
      <c r="AB123" s="17">
        <v>2.1602895313395849</v>
      </c>
      <c r="AC123" s="18">
        <v>2.0494946985480169</v>
      </c>
    </row>
    <row r="124" spans="1:29" ht="15.75" thickBot="1" x14ac:dyDescent="0.3">
      <c r="A124" s="3" t="s">
        <v>5</v>
      </c>
      <c r="B124" s="24">
        <v>50</v>
      </c>
      <c r="C124" s="20">
        <v>70</v>
      </c>
      <c r="D124" s="3">
        <v>-0.8</v>
      </c>
      <c r="E124" s="3">
        <v>3</v>
      </c>
      <c r="F124" s="4">
        <v>1.1137314615047271</v>
      </c>
      <c r="G124" s="4">
        <v>-1.7975366954238527</v>
      </c>
      <c r="H124" s="4">
        <v>-2.2356292835850633</v>
      </c>
    </row>
    <row r="125" spans="1:29" x14ac:dyDescent="0.25">
      <c r="A125" s="3" t="s">
        <v>5</v>
      </c>
      <c r="B125" s="24">
        <v>60</v>
      </c>
      <c r="C125" s="20">
        <v>70</v>
      </c>
      <c r="D125" s="3">
        <v>-0.8</v>
      </c>
      <c r="E125" s="3">
        <v>3</v>
      </c>
      <c r="F125" s="4">
        <v>1.1124998451038144</v>
      </c>
      <c r="G125" s="4">
        <v>-1.5072994807821756</v>
      </c>
      <c r="H125" s="4">
        <v>-2.2489398753290004</v>
      </c>
      <c r="J125" s="5" t="s">
        <v>29</v>
      </c>
      <c r="K125" s="6" t="s">
        <v>10</v>
      </c>
      <c r="L125" s="7"/>
      <c r="M125" s="8"/>
      <c r="N125" s="8"/>
      <c r="O125" s="8"/>
      <c r="P125" s="8"/>
      <c r="Q125" s="8"/>
      <c r="R125" s="9"/>
      <c r="U125" s="5" t="s">
        <v>29</v>
      </c>
      <c r="V125" s="6" t="s">
        <v>10</v>
      </c>
      <c r="W125" s="7"/>
      <c r="X125" s="8"/>
      <c r="Y125" s="8"/>
      <c r="Z125" s="8"/>
      <c r="AA125" s="8"/>
      <c r="AB125" s="8"/>
      <c r="AC125" s="9"/>
    </row>
    <row r="126" spans="1:29" x14ac:dyDescent="0.25">
      <c r="A126" s="3" t="s">
        <v>5</v>
      </c>
      <c r="B126" s="24">
        <v>70</v>
      </c>
      <c r="C126" s="20">
        <v>70</v>
      </c>
      <c r="D126" s="3">
        <v>-0.8</v>
      </c>
      <c r="E126" s="3">
        <v>3</v>
      </c>
      <c r="F126" s="4">
        <v>1.1071173393886906</v>
      </c>
      <c r="G126" s="4">
        <v>-1.2174146072051253</v>
      </c>
      <c r="H126" s="4">
        <v>-2.2264117888149397</v>
      </c>
      <c r="J126" s="10" t="s">
        <v>11</v>
      </c>
      <c r="K126" s="11">
        <v>30</v>
      </c>
      <c r="L126" s="11">
        <v>40</v>
      </c>
      <c r="M126" s="11">
        <v>50</v>
      </c>
      <c r="N126" s="11">
        <v>60</v>
      </c>
      <c r="O126" s="11">
        <v>70</v>
      </c>
      <c r="P126" s="11">
        <v>80</v>
      </c>
      <c r="Q126" s="11">
        <v>90</v>
      </c>
      <c r="R126" s="12">
        <v>100</v>
      </c>
      <c r="U126" s="10" t="s">
        <v>11</v>
      </c>
      <c r="V126" s="11">
        <v>30</v>
      </c>
      <c r="W126" s="11">
        <v>40</v>
      </c>
      <c r="X126" s="11">
        <v>50</v>
      </c>
      <c r="Y126" s="11">
        <v>60</v>
      </c>
      <c r="Z126" s="11">
        <v>70</v>
      </c>
      <c r="AA126" s="11">
        <v>80</v>
      </c>
      <c r="AB126" s="11">
        <v>90</v>
      </c>
      <c r="AC126" s="12">
        <v>100</v>
      </c>
    </row>
    <row r="127" spans="1:29" x14ac:dyDescent="0.25">
      <c r="A127" s="3" t="s">
        <v>5</v>
      </c>
      <c r="B127" s="24">
        <v>80</v>
      </c>
      <c r="C127" s="20">
        <v>70</v>
      </c>
      <c r="D127" s="3">
        <v>-0.8</v>
      </c>
      <c r="E127" s="3">
        <v>3</v>
      </c>
      <c r="F127" s="4">
        <v>1.0979100735750829</v>
      </c>
      <c r="G127" s="4">
        <v>-0.94491199769928191</v>
      </c>
      <c r="H127" s="4">
        <v>-2.1940985408242044</v>
      </c>
      <c r="J127" s="13">
        <v>30</v>
      </c>
      <c r="K127" s="31">
        <f>K109+K118</f>
        <v>-3.9595284140003382</v>
      </c>
      <c r="L127" s="31">
        <f t="shared" ref="L127:R127" si="39">L109+L118</f>
        <v>-4.1241351020979895</v>
      </c>
      <c r="M127" s="31">
        <f t="shared" si="39"/>
        <v>-4.2890132577031164</v>
      </c>
      <c r="N127" s="31">
        <f t="shared" si="39"/>
        <v>-4.4372643550146122</v>
      </c>
      <c r="O127" s="31">
        <f t="shared" si="39"/>
        <v>-4.5520393702779014</v>
      </c>
      <c r="P127" s="31">
        <f t="shared" si="39"/>
        <v>-4.6213862320452677</v>
      </c>
      <c r="Q127" s="31">
        <f t="shared" si="39"/>
        <v>-4.6398198340392689</v>
      </c>
      <c r="R127" s="15">
        <f t="shared" si="39"/>
        <v>-4.6063618909125648</v>
      </c>
      <c r="U127" s="13">
        <v>30</v>
      </c>
      <c r="V127" s="31">
        <v>3.9595284140003382</v>
      </c>
      <c r="W127" s="31">
        <v>4.1241351020979895</v>
      </c>
      <c r="X127" s="31">
        <v>4.2890132577031164</v>
      </c>
      <c r="Y127" s="31">
        <v>4.4372643550146122</v>
      </c>
      <c r="Z127" s="31">
        <v>4.5520393702779014</v>
      </c>
      <c r="AA127" s="31">
        <v>4.6213862320452677</v>
      </c>
      <c r="AB127" s="31">
        <v>4.6398198340392689</v>
      </c>
      <c r="AC127" s="15">
        <v>4.6063618909125648</v>
      </c>
    </row>
    <row r="128" spans="1:29" x14ac:dyDescent="0.25">
      <c r="A128" s="3" t="s">
        <v>5</v>
      </c>
      <c r="B128" s="24">
        <v>30</v>
      </c>
      <c r="C128" s="20">
        <v>80</v>
      </c>
      <c r="D128" s="3">
        <v>-0.8</v>
      </c>
      <c r="E128" s="3">
        <v>3</v>
      </c>
      <c r="F128" s="4">
        <v>1.1389134831650771</v>
      </c>
      <c r="G128" s="4">
        <v>-2.4581310283115099</v>
      </c>
      <c r="H128" s="4">
        <v>-2.1632552037337582</v>
      </c>
      <c r="J128" s="13">
        <v>40</v>
      </c>
      <c r="K128" s="31">
        <f t="shared" ref="K128:R128" si="40">K110+K119</f>
        <v>-3.6849894637931611</v>
      </c>
      <c r="L128" s="31">
        <f t="shared" si="40"/>
        <v>-3.8318391477944815</v>
      </c>
      <c r="M128" s="31">
        <f t="shared" si="40"/>
        <v>-3.9964086039414526</v>
      </c>
      <c r="N128" s="31">
        <f t="shared" si="40"/>
        <v>-4.1593850082941852</v>
      </c>
      <c r="O128" s="31">
        <f t="shared" si="40"/>
        <v>-4.2976825669225063</v>
      </c>
      <c r="P128" s="31">
        <f t="shared" si="40"/>
        <v>-4.3919448590714349</v>
      </c>
      <c r="Q128" s="31">
        <f t="shared" si="40"/>
        <v>-4.4314345717811499</v>
      </c>
      <c r="R128" s="15">
        <f t="shared" si="40"/>
        <v>-4.4141595316777913</v>
      </c>
      <c r="U128" s="13">
        <v>40</v>
      </c>
      <c r="V128" s="31">
        <v>3.6849894637931611</v>
      </c>
      <c r="W128" s="31">
        <v>3.8318391477944815</v>
      </c>
      <c r="X128" s="31">
        <v>3.9964086039414526</v>
      </c>
      <c r="Y128" s="31">
        <v>4.1593850082941852</v>
      </c>
      <c r="Z128" s="31">
        <v>4.2976825669225063</v>
      </c>
      <c r="AA128" s="31">
        <v>4.3919448590714349</v>
      </c>
      <c r="AB128" s="31">
        <v>4.4314345717811499</v>
      </c>
      <c r="AC128" s="15">
        <v>4.4141595316777913</v>
      </c>
    </row>
    <row r="129" spans="1:29" x14ac:dyDescent="0.25">
      <c r="A129" s="3" t="s">
        <v>5</v>
      </c>
      <c r="B129" s="24">
        <v>40</v>
      </c>
      <c r="C129" s="20">
        <v>80</v>
      </c>
      <c r="D129" s="3">
        <v>-0.8</v>
      </c>
      <c r="E129" s="3">
        <v>3</v>
      </c>
      <c r="F129" s="4">
        <v>1.1333240169032235</v>
      </c>
      <c r="G129" s="4">
        <v>-2.207375961001536</v>
      </c>
      <c r="H129" s="4">
        <v>-2.184568898069899</v>
      </c>
      <c r="J129" s="13">
        <v>50</v>
      </c>
      <c r="K129" s="31">
        <f t="shared" ref="K129:R129" si="41">K111+K120</f>
        <v>-3.3955612578870502</v>
      </c>
      <c r="L129" s="31">
        <f t="shared" si="41"/>
        <v>-3.5289073620795017</v>
      </c>
      <c r="M129" s="31">
        <f t="shared" si="41"/>
        <v>-3.6974974757805601</v>
      </c>
      <c r="N129" s="31">
        <f t="shared" si="41"/>
        <v>-3.8766147698283877</v>
      </c>
      <c r="O129" s="31">
        <f t="shared" si="41"/>
        <v>-4.033165979008916</v>
      </c>
      <c r="P129" s="31">
        <f t="shared" si="41"/>
        <v>-4.1373822706422487</v>
      </c>
      <c r="Q129" s="31">
        <f t="shared" si="41"/>
        <v>-4.1730618764513707</v>
      </c>
      <c r="R129" s="15">
        <f t="shared" si="41"/>
        <v>-4.1410560886350769</v>
      </c>
      <c r="U129" s="13">
        <v>50</v>
      </c>
      <c r="V129" s="31">
        <v>3.3955612578870502</v>
      </c>
      <c r="W129" s="31">
        <v>3.5289073620795017</v>
      </c>
      <c r="X129" s="31">
        <v>3.6974974757805601</v>
      </c>
      <c r="Y129" s="31">
        <v>3.8766147698283877</v>
      </c>
      <c r="Z129" s="31">
        <v>4.033165979008916</v>
      </c>
      <c r="AA129" s="31">
        <v>4.1373822706422487</v>
      </c>
      <c r="AB129" s="31">
        <v>4.1730618764513707</v>
      </c>
      <c r="AC129" s="15">
        <v>4.1410560886350769</v>
      </c>
    </row>
    <row r="130" spans="1:29" x14ac:dyDescent="0.25">
      <c r="A130" s="3" t="s">
        <v>5</v>
      </c>
      <c r="B130" s="24">
        <v>50</v>
      </c>
      <c r="C130" s="20">
        <v>80</v>
      </c>
      <c r="D130" s="3">
        <v>-0.8</v>
      </c>
      <c r="E130" s="3">
        <v>3</v>
      </c>
      <c r="F130" s="4">
        <v>1.1305998470511223</v>
      </c>
      <c r="G130" s="4">
        <v>-1.9136477424345835</v>
      </c>
      <c r="H130" s="4">
        <v>-2.223734528207665</v>
      </c>
      <c r="J130" s="13">
        <v>60</v>
      </c>
      <c r="K130" s="31">
        <f t="shared" ref="K130:R130" si="42">K112+K121</f>
        <v>-3.1076747286605459</v>
      </c>
      <c r="L130" s="31">
        <f t="shared" si="42"/>
        <v>-3.2223430403409608</v>
      </c>
      <c r="M130" s="31">
        <f t="shared" si="42"/>
        <v>-3.3902531428035445</v>
      </c>
      <c r="N130" s="31">
        <f t="shared" si="42"/>
        <v>-3.5825007938759095</v>
      </c>
      <c r="O130" s="31">
        <f t="shared" si="42"/>
        <v>-3.756239356111176</v>
      </c>
      <c r="P130" s="31">
        <f t="shared" si="42"/>
        <v>-3.8702528224232067</v>
      </c>
      <c r="Q130" s="31">
        <f t="shared" si="42"/>
        <v>-3.9010829787147308</v>
      </c>
      <c r="R130" s="15">
        <f t="shared" si="42"/>
        <v>-3.851040730571909</v>
      </c>
      <c r="U130" s="13">
        <v>60</v>
      </c>
      <c r="V130" s="31">
        <v>3.1076747286605459</v>
      </c>
      <c r="W130" s="31">
        <v>3.2223430403409608</v>
      </c>
      <c r="X130" s="31">
        <v>3.3902531428035445</v>
      </c>
      <c r="Y130" s="31">
        <v>3.5825007938759095</v>
      </c>
      <c r="Z130" s="31">
        <v>3.756239356111176</v>
      </c>
      <c r="AA130" s="31">
        <v>3.8702528224232067</v>
      </c>
      <c r="AB130" s="31">
        <v>3.9010829787147308</v>
      </c>
      <c r="AC130" s="15">
        <v>3.851040730571909</v>
      </c>
    </row>
    <row r="131" spans="1:29" x14ac:dyDescent="0.25">
      <c r="A131" s="3" t="s">
        <v>5</v>
      </c>
      <c r="B131" s="24">
        <v>60</v>
      </c>
      <c r="C131" s="20">
        <v>80</v>
      </c>
      <c r="D131" s="3">
        <v>-0.8</v>
      </c>
      <c r="E131" s="3">
        <v>3</v>
      </c>
      <c r="F131" s="4">
        <v>1.1289641542962865</v>
      </c>
      <c r="G131" s="4">
        <v>-1.6285217066632764</v>
      </c>
      <c r="H131" s="4">
        <v>-2.2417311157599302</v>
      </c>
      <c r="J131" s="13">
        <v>70</v>
      </c>
      <c r="K131" s="31">
        <f t="shared" ref="K131:R131" si="43">K113+K122</f>
        <v>-2.8445797048543668</v>
      </c>
      <c r="L131" s="31">
        <f t="shared" si="43"/>
        <v>-2.9238321018604614</v>
      </c>
      <c r="M131" s="31">
        <f t="shared" si="43"/>
        <v>-3.0714932674420421</v>
      </c>
      <c r="N131" s="31">
        <f t="shared" si="43"/>
        <v>-3.2603036178765139</v>
      </c>
      <c r="O131" s="31">
        <f t="shared" si="43"/>
        <v>-3.4438263960200652</v>
      </c>
      <c r="P131" s="31">
        <f t="shared" si="43"/>
        <v>-3.57323332143429</v>
      </c>
      <c r="Q131" s="31">
        <f t="shared" si="43"/>
        <v>-3.617253820388405</v>
      </c>
      <c r="R131" s="15">
        <f t="shared" si="43"/>
        <v>-3.5745494295471563</v>
      </c>
      <c r="U131" s="13">
        <v>70</v>
      </c>
      <c r="V131" s="31">
        <v>2.8445797048543668</v>
      </c>
      <c r="W131" s="31">
        <v>2.9238321018604614</v>
      </c>
      <c r="X131" s="31">
        <v>3.0714932674420421</v>
      </c>
      <c r="Y131" s="31">
        <v>3.2603036178765139</v>
      </c>
      <c r="Z131" s="31">
        <v>3.4438263960200652</v>
      </c>
      <c r="AA131" s="31">
        <v>3.57323332143429</v>
      </c>
      <c r="AB131" s="31">
        <v>3.617253820388405</v>
      </c>
      <c r="AC131" s="15">
        <v>3.5745494295471563</v>
      </c>
    </row>
    <row r="132" spans="1:29" ht="15.75" thickBot="1" x14ac:dyDescent="0.3">
      <c r="A132" s="3" t="s">
        <v>5</v>
      </c>
      <c r="B132" s="24">
        <v>70</v>
      </c>
      <c r="C132" s="20">
        <v>80</v>
      </c>
      <c r="D132" s="3">
        <v>-0.8</v>
      </c>
      <c r="E132" s="3">
        <v>3</v>
      </c>
      <c r="F132" s="4">
        <v>1.124095515948947</v>
      </c>
      <c r="G132" s="4">
        <v>-1.3450740034330606</v>
      </c>
      <c r="H132" s="4">
        <v>-2.2281593180012291</v>
      </c>
      <c r="J132" s="16">
        <v>80</v>
      </c>
      <c r="K132" s="17">
        <f t="shared" ref="K132:R132" si="44">K114+K123</f>
        <v>-2.6658082435733625</v>
      </c>
      <c r="L132" s="17">
        <f t="shared" si="44"/>
        <v>-2.6969112448675077</v>
      </c>
      <c r="M132" s="17">
        <f t="shared" si="44"/>
        <v>-2.8026684708146554</v>
      </c>
      <c r="N132" s="17">
        <f t="shared" si="44"/>
        <v>-2.9637693423273297</v>
      </c>
      <c r="O132" s="17">
        <f t="shared" si="44"/>
        <v>-3.1390105385234861</v>
      </c>
      <c r="P132" s="17">
        <f t="shared" si="44"/>
        <v>-3.2798195525381781</v>
      </c>
      <c r="Q132" s="17">
        <f t="shared" si="44"/>
        <v>-3.3502085324895967</v>
      </c>
      <c r="R132" s="18">
        <f t="shared" si="44"/>
        <v>-3.3415502531713805</v>
      </c>
      <c r="U132" s="16">
        <v>80</v>
      </c>
      <c r="V132" s="17">
        <v>2.6658082435733625</v>
      </c>
      <c r="W132" s="17">
        <v>2.6969112448675077</v>
      </c>
      <c r="X132" s="17">
        <v>2.8026684708146554</v>
      </c>
      <c r="Y132" s="17">
        <v>2.9637693423273297</v>
      </c>
      <c r="Z132" s="17">
        <v>3.1390105385234861</v>
      </c>
      <c r="AA132" s="17">
        <v>3.2798195525381781</v>
      </c>
      <c r="AB132" s="17">
        <v>3.3502085324895967</v>
      </c>
      <c r="AC132" s="18">
        <v>3.3415502531713805</v>
      </c>
    </row>
    <row r="133" spans="1:29" ht="15.75" thickBot="1" x14ac:dyDescent="0.3">
      <c r="A133" s="3" t="s">
        <v>5</v>
      </c>
      <c r="B133" s="24">
        <v>80</v>
      </c>
      <c r="C133" s="20">
        <v>80</v>
      </c>
      <c r="D133" s="3">
        <v>-0.8</v>
      </c>
      <c r="E133" s="3">
        <v>3</v>
      </c>
      <c r="F133" s="4">
        <v>1.1153662142459095</v>
      </c>
      <c r="G133" s="4">
        <v>-1.0716007396557719</v>
      </c>
      <c r="H133" s="4">
        <v>-2.2082188128824063</v>
      </c>
    </row>
    <row r="134" spans="1:29" x14ac:dyDescent="0.25">
      <c r="A134" s="3" t="s">
        <v>5</v>
      </c>
      <c r="B134" s="24">
        <v>30</v>
      </c>
      <c r="C134" s="20">
        <v>90</v>
      </c>
      <c r="D134" s="3">
        <v>-0.8</v>
      </c>
      <c r="E134" s="3">
        <v>3</v>
      </c>
      <c r="F134" s="4">
        <v>1.1531371042732308</v>
      </c>
      <c r="G134" s="4">
        <v>-2.5289302408449701</v>
      </c>
      <c r="H134" s="4">
        <v>-2.1108895931942993</v>
      </c>
      <c r="J134" s="5" t="s">
        <v>30</v>
      </c>
      <c r="K134" s="6" t="s">
        <v>10</v>
      </c>
      <c r="L134" s="7"/>
      <c r="M134" s="8"/>
      <c r="N134" s="8"/>
      <c r="O134" s="8"/>
      <c r="P134" s="8"/>
      <c r="Q134" s="8"/>
      <c r="R134" s="9"/>
      <c r="U134" s="5" t="s">
        <v>30</v>
      </c>
      <c r="V134" s="6" t="s">
        <v>10</v>
      </c>
      <c r="W134" s="7"/>
      <c r="X134" s="8"/>
      <c r="Y134" s="8"/>
      <c r="Z134" s="8"/>
      <c r="AA134" s="8"/>
      <c r="AB134" s="8"/>
      <c r="AC134" s="9"/>
    </row>
    <row r="135" spans="1:29" x14ac:dyDescent="0.25">
      <c r="A135" s="3" t="s">
        <v>5</v>
      </c>
      <c r="B135" s="24">
        <v>40</v>
      </c>
      <c r="C135" s="20">
        <v>90</v>
      </c>
      <c r="D135" s="3">
        <v>-0.8</v>
      </c>
      <c r="E135" s="3">
        <v>3</v>
      </c>
      <c r="F135" s="4">
        <v>1.1487869012254637</v>
      </c>
      <c r="G135" s="4">
        <v>-2.3066360365556857</v>
      </c>
      <c r="H135" s="4">
        <v>-2.1247985352254646</v>
      </c>
      <c r="J135" s="10" t="s">
        <v>11</v>
      </c>
      <c r="K135" s="11">
        <v>30</v>
      </c>
      <c r="L135" s="11">
        <v>40</v>
      </c>
      <c r="M135" s="11">
        <v>50</v>
      </c>
      <c r="N135" s="11">
        <v>60</v>
      </c>
      <c r="O135" s="11">
        <v>70</v>
      </c>
      <c r="P135" s="11">
        <v>80</v>
      </c>
      <c r="Q135" s="11">
        <v>90</v>
      </c>
      <c r="R135" s="12">
        <v>100</v>
      </c>
      <c r="U135" s="10" t="s">
        <v>11</v>
      </c>
      <c r="V135" s="11">
        <v>30</v>
      </c>
      <c r="W135" s="11">
        <v>40</v>
      </c>
      <c r="X135" s="11">
        <v>50</v>
      </c>
      <c r="Y135" s="11">
        <v>60</v>
      </c>
      <c r="Z135" s="11">
        <v>70</v>
      </c>
      <c r="AA135" s="11">
        <v>80</v>
      </c>
      <c r="AB135" s="11">
        <v>90</v>
      </c>
      <c r="AC135" s="12">
        <v>100</v>
      </c>
    </row>
    <row r="136" spans="1:29" x14ac:dyDescent="0.25">
      <c r="A136" s="3" t="s">
        <v>5</v>
      </c>
      <c r="B136" s="24">
        <v>50</v>
      </c>
      <c r="C136" s="20">
        <v>90</v>
      </c>
      <c r="D136" s="3">
        <v>-0.8</v>
      </c>
      <c r="E136" s="3">
        <v>3</v>
      </c>
      <c r="F136" s="4">
        <v>1.1456177395448528</v>
      </c>
      <c r="G136" s="4">
        <v>-2.0173384547117621</v>
      </c>
      <c r="H136" s="4">
        <v>-2.1557234217396091</v>
      </c>
      <c r="J136" s="13">
        <v>30</v>
      </c>
      <c r="K136" s="31">
        <f>K109/(K109+K118)</f>
        <v>0.47637297540692053</v>
      </c>
      <c r="L136" s="31">
        <f t="shared" ref="L136:R136" si="45">L109/(L109+L118)</f>
        <v>0.4903270543235716</v>
      </c>
      <c r="M136" s="31">
        <f t="shared" si="45"/>
        <v>0.50218546909468453</v>
      </c>
      <c r="N136" s="31">
        <f t="shared" si="45"/>
        <v>0.5119145011268269</v>
      </c>
      <c r="O136" s="31">
        <f t="shared" si="45"/>
        <v>0.52113665008827481</v>
      </c>
      <c r="P136" s="31">
        <f t="shared" si="45"/>
        <v>0.53190339540688536</v>
      </c>
      <c r="Q136" s="31">
        <f t="shared" si="45"/>
        <v>0.54504923279388839</v>
      </c>
      <c r="R136" s="15">
        <f t="shared" si="45"/>
        <v>0.55915261541797057</v>
      </c>
      <c r="U136" s="13">
        <v>30</v>
      </c>
      <c r="V136" s="31">
        <v>0.47637297540692053</v>
      </c>
      <c r="W136" s="31">
        <v>0.4903270543235716</v>
      </c>
      <c r="X136" s="31">
        <v>0.50218546909468453</v>
      </c>
      <c r="Y136" s="31">
        <v>0.5119145011268269</v>
      </c>
      <c r="Z136" s="31">
        <v>0.52113665008827481</v>
      </c>
      <c r="AA136" s="31">
        <v>0.53190339540688536</v>
      </c>
      <c r="AB136" s="31">
        <v>0.54504923279388839</v>
      </c>
      <c r="AC136" s="15">
        <v>0.55915261541797057</v>
      </c>
    </row>
    <row r="137" spans="1:29" x14ac:dyDescent="0.25">
      <c r="A137" s="3" t="s">
        <v>5</v>
      </c>
      <c r="B137" s="24">
        <v>60</v>
      </c>
      <c r="C137" s="20">
        <v>90</v>
      </c>
      <c r="D137" s="3">
        <v>-0.8</v>
      </c>
      <c r="E137" s="3">
        <v>3</v>
      </c>
      <c r="F137" s="4">
        <v>1.1431299660996184</v>
      </c>
      <c r="G137" s="4">
        <v>-1.7304225763985626</v>
      </c>
      <c r="H137" s="4">
        <v>-2.1706604023161682</v>
      </c>
      <c r="J137" s="13">
        <v>40</v>
      </c>
      <c r="K137" s="31">
        <f t="shared" ref="K137:R137" si="46">K110/(K110+K119)</f>
        <v>0.43490353334054471</v>
      </c>
      <c r="L137" s="31">
        <f t="shared" si="46"/>
        <v>0.45004559073805012</v>
      </c>
      <c r="M137" s="31">
        <f t="shared" si="46"/>
        <v>0.46411481973049273</v>
      </c>
      <c r="N137" s="31">
        <f t="shared" si="46"/>
        <v>0.47632427423219453</v>
      </c>
      <c r="O137" s="31">
        <f t="shared" si="46"/>
        <v>0.48829812344119222</v>
      </c>
      <c r="P137" s="31">
        <f t="shared" si="46"/>
        <v>0.50259646508135569</v>
      </c>
      <c r="Q137" s="31">
        <f t="shared" si="46"/>
        <v>0.52051677604450497</v>
      </c>
      <c r="R137" s="15">
        <f t="shared" si="46"/>
        <v>0.54059083409977082</v>
      </c>
      <c r="U137" s="13">
        <v>40</v>
      </c>
      <c r="V137" s="31">
        <v>0.43490353334054471</v>
      </c>
      <c r="W137" s="31">
        <v>0.45004559073805012</v>
      </c>
      <c r="X137" s="31">
        <v>0.46411481973049273</v>
      </c>
      <c r="Y137" s="31">
        <v>0.47632427423219453</v>
      </c>
      <c r="Z137" s="31">
        <v>0.48829812344119222</v>
      </c>
      <c r="AA137" s="31">
        <v>0.50259646508135569</v>
      </c>
      <c r="AB137" s="31">
        <v>0.52051677604450497</v>
      </c>
      <c r="AC137" s="15">
        <v>0.54059083409977082</v>
      </c>
    </row>
    <row r="138" spans="1:29" x14ac:dyDescent="0.25">
      <c r="A138" s="3" t="s">
        <v>5</v>
      </c>
      <c r="B138" s="24">
        <v>70</v>
      </c>
      <c r="C138" s="20">
        <v>90</v>
      </c>
      <c r="D138" s="3">
        <v>-0.8</v>
      </c>
      <c r="E138" s="3">
        <v>3</v>
      </c>
      <c r="F138" s="4">
        <v>1.1380951617176409</v>
      </c>
      <c r="G138" s="4">
        <v>-1.4529813010675725</v>
      </c>
      <c r="H138" s="4">
        <v>-2.1642725193208325</v>
      </c>
      <c r="J138" s="13">
        <v>50</v>
      </c>
      <c r="K138" s="31">
        <f t="shared" ref="K138:R138" si="47">K111/(K111+K120)</f>
        <v>0.37897387558787021</v>
      </c>
      <c r="L138" s="31">
        <f t="shared" si="47"/>
        <v>0.39651091291760621</v>
      </c>
      <c r="M138" s="31">
        <f t="shared" si="47"/>
        <v>0.4146176192766185</v>
      </c>
      <c r="N138" s="31">
        <f t="shared" si="47"/>
        <v>0.43070061556758094</v>
      </c>
      <c r="O138" s="31">
        <f t="shared" si="47"/>
        <v>0.44568874794128055</v>
      </c>
      <c r="P138" s="31">
        <f t="shared" si="47"/>
        <v>0.46252621035607777</v>
      </c>
      <c r="Q138" s="31">
        <f t="shared" si="47"/>
        <v>0.48341925292208648</v>
      </c>
      <c r="R138" s="15">
        <f t="shared" si="47"/>
        <v>0.50767555867655989</v>
      </c>
      <c r="U138" s="13">
        <v>50</v>
      </c>
      <c r="V138" s="31">
        <v>0.37897387558787021</v>
      </c>
      <c r="W138" s="31">
        <v>0.39651091291760621</v>
      </c>
      <c r="X138" s="31">
        <v>0.4146176192766185</v>
      </c>
      <c r="Y138" s="31">
        <v>0.43070061556758094</v>
      </c>
      <c r="Z138" s="31">
        <v>0.44568874794128055</v>
      </c>
      <c r="AA138" s="31">
        <v>0.46252621035607777</v>
      </c>
      <c r="AB138" s="31">
        <v>0.48341925292208648</v>
      </c>
      <c r="AC138" s="15">
        <v>0.50767555867655989</v>
      </c>
    </row>
    <row r="139" spans="1:29" x14ac:dyDescent="0.25">
      <c r="A139" s="3" t="s">
        <v>5</v>
      </c>
      <c r="B139" s="24">
        <v>80</v>
      </c>
      <c r="C139" s="20">
        <v>90</v>
      </c>
      <c r="D139" s="3">
        <v>-0.8</v>
      </c>
      <c r="E139" s="3">
        <v>3</v>
      </c>
      <c r="F139" s="4">
        <v>1.129564895871078</v>
      </c>
      <c r="G139" s="4">
        <v>-1.1899190011500118</v>
      </c>
      <c r="H139" s="4">
        <v>-2.1602895313395849</v>
      </c>
      <c r="J139" s="13">
        <v>60</v>
      </c>
      <c r="K139" s="31">
        <f t="shared" ref="K139:R139" si="48">K112/(K112+K121)</f>
        <v>0.3165533398847179</v>
      </c>
      <c r="L139" s="31">
        <f t="shared" si="48"/>
        <v>0.33674831347201567</v>
      </c>
      <c r="M139" s="31">
        <f t="shared" si="48"/>
        <v>0.3603569211936713</v>
      </c>
      <c r="N139" s="31">
        <f t="shared" si="48"/>
        <v>0.38207397905459389</v>
      </c>
      <c r="O139" s="31">
        <f t="shared" si="48"/>
        <v>0.40127886907150628</v>
      </c>
      <c r="P139" s="31">
        <f t="shared" si="48"/>
        <v>0.42077915355504902</v>
      </c>
      <c r="Q139" s="31">
        <f t="shared" si="48"/>
        <v>0.4435749215897673</v>
      </c>
      <c r="R139" s="15">
        <f t="shared" si="48"/>
        <v>0.47010562762202462</v>
      </c>
      <c r="U139" s="13">
        <v>60</v>
      </c>
      <c r="V139" s="31">
        <v>0.3165533398847179</v>
      </c>
      <c r="W139" s="31">
        <v>0.33674831347201567</v>
      </c>
      <c r="X139" s="31">
        <v>0.3603569211936713</v>
      </c>
      <c r="Y139" s="31">
        <v>0.38207397905459389</v>
      </c>
      <c r="Z139" s="31">
        <v>0.40127886907150628</v>
      </c>
      <c r="AA139" s="31">
        <v>0.42077915355504902</v>
      </c>
      <c r="AB139" s="31">
        <v>0.4435749215897673</v>
      </c>
      <c r="AC139" s="15">
        <v>0.47010562762202462</v>
      </c>
    </row>
    <row r="140" spans="1:29" x14ac:dyDescent="0.25">
      <c r="A140" s="3" t="s">
        <v>5</v>
      </c>
      <c r="B140" s="24">
        <v>30</v>
      </c>
      <c r="C140" s="20">
        <v>100</v>
      </c>
      <c r="D140" s="3">
        <v>-0.8</v>
      </c>
      <c r="E140" s="3">
        <v>3</v>
      </c>
      <c r="F140" s="4">
        <v>1.1626759516911576</v>
      </c>
      <c r="G140" s="4">
        <v>-2.5756592988654292</v>
      </c>
      <c r="H140" s="4">
        <v>-2.030702592047136</v>
      </c>
      <c r="J140" s="13">
        <v>70</v>
      </c>
      <c r="K140" s="31">
        <f t="shared" ref="K140:R140" si="49">K113/(K113+K122)</f>
        <v>0.26012271620004235</v>
      </c>
      <c r="L140" s="31">
        <f t="shared" si="49"/>
        <v>0.27819690001850417</v>
      </c>
      <c r="M140" s="31">
        <f t="shared" si="49"/>
        <v>0.3039894671830996</v>
      </c>
      <c r="N140" s="31">
        <f t="shared" si="49"/>
        <v>0.32996960944403708</v>
      </c>
      <c r="O140" s="31">
        <f t="shared" si="49"/>
        <v>0.35350638133561485</v>
      </c>
      <c r="P140" s="31">
        <f t="shared" si="49"/>
        <v>0.37643049933642458</v>
      </c>
      <c r="Q140" s="31">
        <f t="shared" si="49"/>
        <v>0.40168077033409771</v>
      </c>
      <c r="R140" s="15">
        <f t="shared" si="49"/>
        <v>0.43024390979702276</v>
      </c>
      <c r="U140" s="13">
        <v>70</v>
      </c>
      <c r="V140" s="31">
        <v>0.26012271620004235</v>
      </c>
      <c r="W140" s="31">
        <v>0.27819690001850417</v>
      </c>
      <c r="X140" s="31">
        <v>0.3039894671830996</v>
      </c>
      <c r="Y140" s="31">
        <v>0.32996960944403708</v>
      </c>
      <c r="Z140" s="31">
        <v>0.35350638133561485</v>
      </c>
      <c r="AA140" s="31">
        <v>0.37643049933642458</v>
      </c>
      <c r="AB140" s="31">
        <v>0.40168077033409771</v>
      </c>
      <c r="AC140" s="15">
        <v>0.43024390979702276</v>
      </c>
    </row>
    <row r="141" spans="1:29" ht="15.75" thickBot="1" x14ac:dyDescent="0.3">
      <c r="A141" s="3" t="s">
        <v>5</v>
      </c>
      <c r="B141" s="24">
        <v>40</v>
      </c>
      <c r="C141" s="20">
        <v>100</v>
      </c>
      <c r="D141" s="3">
        <v>-0.8</v>
      </c>
      <c r="E141" s="3">
        <v>3</v>
      </c>
      <c r="F141" s="4">
        <v>1.1610557806728692</v>
      </c>
      <c r="G141" s="4">
        <v>-2.386254183079151</v>
      </c>
      <c r="H141" s="4">
        <v>-2.0279053485986402</v>
      </c>
      <c r="J141" s="16">
        <v>80</v>
      </c>
      <c r="K141" s="17">
        <f t="shared" ref="K141:R141" si="50">K114/(K114+K123)</f>
        <v>0.22830368523622674</v>
      </c>
      <c r="L141" s="17">
        <f t="shared" si="50"/>
        <v>0.23493816044094082</v>
      </c>
      <c r="M141" s="17">
        <f t="shared" si="50"/>
        <v>0.25326270870169176</v>
      </c>
      <c r="N141" s="17">
        <f t="shared" si="50"/>
        <v>0.27655377875871501</v>
      </c>
      <c r="O141" s="17">
        <f t="shared" si="50"/>
        <v>0.30102224446297826</v>
      </c>
      <c r="P141" s="17">
        <f t="shared" si="50"/>
        <v>0.32672551720916604</v>
      </c>
      <c r="Q141" s="17">
        <f t="shared" si="50"/>
        <v>0.35517759256190623</v>
      </c>
      <c r="R141" s="18">
        <f t="shared" si="50"/>
        <v>0.38666351146361083</v>
      </c>
      <c r="U141" s="16">
        <v>80</v>
      </c>
      <c r="V141" s="17">
        <v>0.22830368523622674</v>
      </c>
      <c r="W141" s="17">
        <v>0.23493816044094082</v>
      </c>
      <c r="X141" s="17">
        <v>0.25326270870169176</v>
      </c>
      <c r="Y141" s="17">
        <v>0.27655377875871501</v>
      </c>
      <c r="Z141" s="17">
        <v>0.30102224446297826</v>
      </c>
      <c r="AA141" s="17">
        <v>0.32672551720916604</v>
      </c>
      <c r="AB141" s="17">
        <v>0.35517759256190623</v>
      </c>
      <c r="AC141" s="18">
        <v>0.38666351146361083</v>
      </c>
    </row>
    <row r="142" spans="1:29" x14ac:dyDescent="0.25">
      <c r="A142" s="3" t="s">
        <v>5</v>
      </c>
      <c r="B142" s="24">
        <v>50</v>
      </c>
      <c r="C142" s="20">
        <v>100</v>
      </c>
      <c r="D142" s="3">
        <v>-0.8</v>
      </c>
      <c r="E142" s="3">
        <v>3</v>
      </c>
      <c r="F142" s="4">
        <v>1.1580069976516132</v>
      </c>
      <c r="G142" s="4">
        <v>-2.1023129633087825</v>
      </c>
      <c r="H142" s="4">
        <v>-2.0387431253262949</v>
      </c>
    </row>
    <row r="143" spans="1:29" x14ac:dyDescent="0.25">
      <c r="A143" s="3" t="s">
        <v>5</v>
      </c>
      <c r="B143" s="24">
        <v>60</v>
      </c>
      <c r="C143" s="20">
        <v>100</v>
      </c>
      <c r="D143" s="3">
        <v>-0.8</v>
      </c>
      <c r="E143" s="3">
        <v>3</v>
      </c>
      <c r="F143" s="4">
        <v>1.1541446469918191</v>
      </c>
      <c r="G143" s="4">
        <v>-1.8103959196434876</v>
      </c>
      <c r="H143" s="4">
        <v>-2.0406448109284212</v>
      </c>
    </row>
    <row r="144" spans="1:29" x14ac:dyDescent="0.25">
      <c r="A144" s="3" t="s">
        <v>5</v>
      </c>
      <c r="B144" s="24">
        <v>70</v>
      </c>
      <c r="C144" s="20">
        <v>100</v>
      </c>
      <c r="D144" s="3">
        <v>-0.8</v>
      </c>
      <c r="E144" s="3">
        <v>3</v>
      </c>
      <c r="F144" s="4">
        <v>1.1479660246448344</v>
      </c>
      <c r="G144" s="4">
        <v>-1.5379281223310859</v>
      </c>
      <c r="H144" s="4">
        <v>-2.0366213072160706</v>
      </c>
    </row>
    <row r="145" spans="1:29" ht="15.75" thickBot="1" x14ac:dyDescent="0.3">
      <c r="A145" s="3" t="s">
        <v>5</v>
      </c>
      <c r="B145" s="24">
        <v>80</v>
      </c>
      <c r="C145" s="20">
        <v>100</v>
      </c>
      <c r="D145" s="3">
        <v>-0.8</v>
      </c>
      <c r="E145" s="3">
        <v>3</v>
      </c>
      <c r="F145" s="4">
        <v>1.1389531325336788</v>
      </c>
      <c r="G145" s="4">
        <v>-1.2920555546233639</v>
      </c>
      <c r="H145" s="4">
        <v>-2.0494946985480169</v>
      </c>
      <c r="J145" s="29" t="s">
        <v>17</v>
      </c>
      <c r="K145" s="19" t="s">
        <v>15</v>
      </c>
      <c r="U145" s="29" t="s">
        <v>17</v>
      </c>
      <c r="V145" s="19" t="s">
        <v>15</v>
      </c>
    </row>
    <row r="146" spans="1:29" x14ac:dyDescent="0.25">
      <c r="A146" t="s">
        <v>5</v>
      </c>
      <c r="B146" s="24">
        <v>30</v>
      </c>
      <c r="C146" s="20">
        <v>30</v>
      </c>
      <c r="D146">
        <v>-1.6</v>
      </c>
      <c r="E146">
        <v>3</v>
      </c>
      <c r="F146" s="1">
        <v>1.0474024050673179</v>
      </c>
      <c r="G146" s="1">
        <v>-1.9222062110721367</v>
      </c>
      <c r="H146" s="1">
        <v>-2.079516329276478</v>
      </c>
      <c r="J146" s="5" t="s">
        <v>9</v>
      </c>
      <c r="K146" s="6" t="s">
        <v>10</v>
      </c>
      <c r="L146" s="7"/>
      <c r="M146" s="8"/>
      <c r="N146" s="8"/>
      <c r="O146" s="8"/>
      <c r="P146" s="8"/>
      <c r="Q146" s="8"/>
      <c r="R146" s="9"/>
      <c r="U146" s="5" t="s">
        <v>9</v>
      </c>
      <c r="V146" s="6" t="s">
        <v>10</v>
      </c>
      <c r="W146" s="7"/>
      <c r="X146" s="8"/>
      <c r="Y146" s="8"/>
      <c r="Z146" s="8"/>
      <c r="AA146" s="8"/>
      <c r="AB146" s="8"/>
      <c r="AC146" s="9"/>
    </row>
    <row r="147" spans="1:29" x14ac:dyDescent="0.25">
      <c r="A147" t="s">
        <v>5</v>
      </c>
      <c r="B147" s="24">
        <v>40</v>
      </c>
      <c r="C147" s="20">
        <v>30</v>
      </c>
      <c r="D147">
        <v>-1.6</v>
      </c>
      <c r="E147">
        <v>3</v>
      </c>
      <c r="F147" s="1">
        <v>1.0441175476539322</v>
      </c>
      <c r="G147" s="1">
        <v>-1.689948061044644</v>
      </c>
      <c r="H147" s="1">
        <v>-2.1060322607504003</v>
      </c>
      <c r="J147" s="10" t="s">
        <v>11</v>
      </c>
      <c r="K147" s="11">
        <v>30</v>
      </c>
      <c r="L147" s="11">
        <v>40</v>
      </c>
      <c r="M147" s="11">
        <v>50</v>
      </c>
      <c r="N147" s="11">
        <v>60</v>
      </c>
      <c r="O147" s="11">
        <v>70</v>
      </c>
      <c r="P147" s="11">
        <v>80</v>
      </c>
      <c r="Q147" s="11">
        <v>90</v>
      </c>
      <c r="R147" s="12">
        <v>100</v>
      </c>
      <c r="U147" s="10" t="s">
        <v>11</v>
      </c>
      <c r="V147" s="11">
        <v>30</v>
      </c>
      <c r="W147" s="11">
        <v>40</v>
      </c>
      <c r="X147" s="11">
        <v>50</v>
      </c>
      <c r="Y147" s="11">
        <v>60</v>
      </c>
      <c r="Z147" s="11">
        <v>70</v>
      </c>
      <c r="AA147" s="11">
        <v>80</v>
      </c>
      <c r="AB147" s="11">
        <v>90</v>
      </c>
      <c r="AC147" s="12">
        <v>100</v>
      </c>
    </row>
    <row r="148" spans="1:29" x14ac:dyDescent="0.25">
      <c r="A148" t="s">
        <v>5</v>
      </c>
      <c r="B148" s="24">
        <v>50</v>
      </c>
      <c r="C148" s="20">
        <v>30</v>
      </c>
      <c r="D148">
        <v>-1.6</v>
      </c>
      <c r="E148">
        <v>3</v>
      </c>
      <c r="F148" s="1">
        <v>1.0412836185606866</v>
      </c>
      <c r="G148" s="1">
        <v>-1.3783697691385974</v>
      </c>
      <c r="H148" s="1">
        <v>-2.1138987196149603</v>
      </c>
      <c r="J148" s="13">
        <v>30</v>
      </c>
      <c r="K148" s="14">
        <f>F146</f>
        <v>1.0474024050673179</v>
      </c>
      <c r="L148" s="14">
        <f>F152</f>
        <v>1.059930329246459</v>
      </c>
      <c r="M148" s="14">
        <f>F158</f>
        <v>1.076261378438006</v>
      </c>
      <c r="N148" s="14">
        <f>F164</f>
        <v>1.0945305326369394</v>
      </c>
      <c r="O148" s="14">
        <f>F170</f>
        <v>1.1123959568506132</v>
      </c>
      <c r="P148" s="14">
        <f>F176</f>
        <v>1.1277305561766624</v>
      </c>
      <c r="Q148" s="14">
        <f>F182</f>
        <v>1.1390270298669762</v>
      </c>
      <c r="R148" s="15">
        <f>F188</f>
        <v>1.1453801303203621</v>
      </c>
      <c r="U148" s="13">
        <v>30</v>
      </c>
      <c r="V148" s="14">
        <v>1.0474024050673179</v>
      </c>
      <c r="W148" s="14">
        <v>1.059930329246459</v>
      </c>
      <c r="X148" s="14">
        <v>1.076261378438006</v>
      </c>
      <c r="Y148" s="14">
        <v>1.0945305326369394</v>
      </c>
      <c r="Z148" s="14">
        <v>1.1123959568506132</v>
      </c>
      <c r="AA148" s="14">
        <v>1.1277305561766624</v>
      </c>
      <c r="AB148" s="14">
        <v>1.1390270298669762</v>
      </c>
      <c r="AC148" s="15">
        <v>1.1453801303203621</v>
      </c>
    </row>
    <row r="149" spans="1:29" x14ac:dyDescent="0.25">
      <c r="A149" t="s">
        <v>5</v>
      </c>
      <c r="B149" s="24">
        <v>60</v>
      </c>
      <c r="C149" s="20">
        <v>30</v>
      </c>
      <c r="D149">
        <v>-1.6</v>
      </c>
      <c r="E149">
        <v>3</v>
      </c>
      <c r="F149" s="1">
        <v>1.0372526999993863</v>
      </c>
      <c r="G149" s="1">
        <v>-1.0662884395568837</v>
      </c>
      <c r="H149" s="1">
        <v>-2.0859022862715046</v>
      </c>
      <c r="J149" s="13">
        <v>40</v>
      </c>
      <c r="K149" s="14">
        <f>F147</f>
        <v>1.0441175476539322</v>
      </c>
      <c r="L149" s="14">
        <f>F153</f>
        <v>1.0581194900121516</v>
      </c>
      <c r="M149" s="14">
        <f>F159</f>
        <v>1.0753891425553623</v>
      </c>
      <c r="N149" s="14">
        <f t="shared" ref="N149:N152" si="51">F165</f>
        <v>1.0941358927087088</v>
      </c>
      <c r="O149" s="14">
        <f>F171</f>
        <v>1.1124749214305454</v>
      </c>
      <c r="P149" s="14">
        <f>F177</f>
        <v>1.1288341383900462</v>
      </c>
      <c r="Q149" s="14">
        <f>F183</f>
        <v>1.1419966137281008</v>
      </c>
      <c r="R149" s="15">
        <f>F189</f>
        <v>1.1508712833902159</v>
      </c>
      <c r="U149" s="13">
        <v>40</v>
      </c>
      <c r="V149" s="14">
        <v>1.0441175476539322</v>
      </c>
      <c r="W149" s="14">
        <v>1.0581194900121516</v>
      </c>
      <c r="X149" s="14">
        <v>1.0753891425553623</v>
      </c>
      <c r="Y149" s="14">
        <v>1.0941358927087088</v>
      </c>
      <c r="Z149" s="14">
        <v>1.1124749214305454</v>
      </c>
      <c r="AA149" s="14">
        <v>1.1288341383900462</v>
      </c>
      <c r="AB149" s="14">
        <v>1.1419966137281008</v>
      </c>
      <c r="AC149" s="15">
        <v>1.1508712833902159</v>
      </c>
    </row>
    <row r="150" spans="1:29" x14ac:dyDescent="0.25">
      <c r="A150" t="s">
        <v>5</v>
      </c>
      <c r="B150" s="24">
        <v>70</v>
      </c>
      <c r="C150" s="20">
        <v>30</v>
      </c>
      <c r="D150">
        <v>-1.6</v>
      </c>
      <c r="E150">
        <v>3</v>
      </c>
      <c r="F150" s="1">
        <v>1.0321105167035882</v>
      </c>
      <c r="G150" s="1">
        <v>-0.83373690716351856</v>
      </c>
      <c r="H150" s="1">
        <v>-2.0265680392258254</v>
      </c>
      <c r="J150" s="13">
        <v>50</v>
      </c>
      <c r="K150" s="14">
        <f>F148</f>
        <v>1.0412836185606866</v>
      </c>
      <c r="L150" s="14">
        <f>F154</f>
        <v>1.0562876618862422</v>
      </c>
      <c r="M150" s="14">
        <f>F160</f>
        <v>1.0740409532976272</v>
      </c>
      <c r="N150" s="14">
        <f t="shared" si="51"/>
        <v>1.0928008081581126</v>
      </c>
      <c r="O150" s="14">
        <f>F172</f>
        <v>1.1110046742669195</v>
      </c>
      <c r="P150" s="14">
        <f>F178</f>
        <v>1.1274573469428073</v>
      </c>
      <c r="Q150" s="14">
        <f>F184</f>
        <v>1.1411423268838372</v>
      </c>
      <c r="R150" s="15">
        <f>F190</f>
        <v>1.1508989758073374</v>
      </c>
      <c r="U150" s="13">
        <v>50</v>
      </c>
      <c r="V150" s="14">
        <v>1.0412836185606866</v>
      </c>
      <c r="W150" s="14">
        <v>1.0562876618862422</v>
      </c>
      <c r="X150" s="14">
        <v>1.0740409532976272</v>
      </c>
      <c r="Y150" s="14">
        <v>1.0928008081581126</v>
      </c>
      <c r="Z150" s="14">
        <v>1.1110046742669195</v>
      </c>
      <c r="AA150" s="14">
        <v>1.1274573469428073</v>
      </c>
      <c r="AB150" s="14">
        <v>1.1411423268838372</v>
      </c>
      <c r="AC150" s="15">
        <v>1.1508989758073374</v>
      </c>
    </row>
    <row r="151" spans="1:29" x14ac:dyDescent="0.25">
      <c r="A151" t="s">
        <v>5</v>
      </c>
      <c r="B151" s="24">
        <v>80</v>
      </c>
      <c r="C151" s="20">
        <v>30</v>
      </c>
      <c r="D151">
        <v>-1.6</v>
      </c>
      <c r="E151">
        <v>3</v>
      </c>
      <c r="F151" s="1">
        <v>1.0289071257795384</v>
      </c>
      <c r="G151" s="1">
        <v>-0.73045984745865011</v>
      </c>
      <c r="H151" s="1">
        <v>-1.9629149990314692</v>
      </c>
      <c r="J151" s="13">
        <v>60</v>
      </c>
      <c r="K151" s="14">
        <f>F149</f>
        <v>1.0372526999993863</v>
      </c>
      <c r="L151" s="14">
        <f>F155</f>
        <v>1.0522330797579489</v>
      </c>
      <c r="M151" s="14">
        <f>F161</f>
        <v>1.0700028802812576</v>
      </c>
      <c r="N151" s="14">
        <f t="shared" si="51"/>
        <v>1.088812182334731</v>
      </c>
      <c r="O151" s="14">
        <f>F173</f>
        <v>1.1070658259014834</v>
      </c>
      <c r="P151" s="14">
        <f>F179</f>
        <v>1.1234774988528784</v>
      </c>
      <c r="Q151" s="14">
        <f>F185</f>
        <v>1.1369204196090552</v>
      </c>
      <c r="R151" s="15">
        <f>F191</f>
        <v>1.146202448193675</v>
      </c>
      <c r="U151" s="13">
        <v>60</v>
      </c>
      <c r="V151" s="14">
        <v>1.0372526999993863</v>
      </c>
      <c r="W151" s="14">
        <v>1.0522330797579489</v>
      </c>
      <c r="X151" s="14">
        <v>1.0700028802812576</v>
      </c>
      <c r="Y151" s="14">
        <v>1.088812182334731</v>
      </c>
      <c r="Z151" s="14">
        <v>1.1070658259014834</v>
      </c>
      <c r="AA151" s="14">
        <v>1.1234774988528784</v>
      </c>
      <c r="AB151" s="14">
        <v>1.1369204196090552</v>
      </c>
      <c r="AC151" s="15">
        <v>1.146202448193675</v>
      </c>
    </row>
    <row r="152" spans="1:29" x14ac:dyDescent="0.25">
      <c r="A152" t="s">
        <v>5</v>
      </c>
      <c r="B152" s="24">
        <v>30</v>
      </c>
      <c r="C152" s="20">
        <v>40</v>
      </c>
      <c r="D152">
        <v>-1.6</v>
      </c>
      <c r="E152">
        <v>3</v>
      </c>
      <c r="F152" s="1">
        <v>1.059930329246459</v>
      </c>
      <c r="G152" s="1">
        <v>-2.0174577961357079</v>
      </c>
      <c r="H152" s="1">
        <v>-2.1023728129214212</v>
      </c>
      <c r="J152" s="13">
        <v>70</v>
      </c>
      <c r="K152" s="14">
        <f>F150</f>
        <v>1.0321105167035882</v>
      </c>
      <c r="L152" s="14">
        <f>F156</f>
        <v>1.0458369530373306</v>
      </c>
      <c r="M152" s="14">
        <f>F162</f>
        <v>1.0629671273894323</v>
      </c>
      <c r="N152" s="14">
        <f t="shared" si="51"/>
        <v>1.0817546401541984</v>
      </c>
      <c r="O152" s="14">
        <f>F174</f>
        <v>1.1003028027298043</v>
      </c>
      <c r="P152" s="14">
        <f>F180</f>
        <v>1.1168480431751484</v>
      </c>
      <c r="Q152" s="14">
        <f>F186</f>
        <v>1.1298710141822899</v>
      </c>
      <c r="R152" s="15">
        <f>F192</f>
        <v>1.1381150243160021</v>
      </c>
      <c r="U152" s="13">
        <v>70</v>
      </c>
      <c r="V152" s="14">
        <v>1.0321105167035882</v>
      </c>
      <c r="W152" s="14">
        <v>1.0458369530373306</v>
      </c>
      <c r="X152" s="14">
        <v>1.0629671273894323</v>
      </c>
      <c r="Y152" s="14">
        <v>1.0817546401541984</v>
      </c>
      <c r="Z152" s="14">
        <v>1.1003028027298043</v>
      </c>
      <c r="AA152" s="14">
        <v>1.1168480431751484</v>
      </c>
      <c r="AB152" s="14">
        <v>1.1298710141822899</v>
      </c>
      <c r="AC152" s="15">
        <v>1.1381150243160021</v>
      </c>
    </row>
    <row r="153" spans="1:29" ht="15.75" thickBot="1" x14ac:dyDescent="0.3">
      <c r="A153" t="s">
        <v>5</v>
      </c>
      <c r="B153" s="24">
        <v>40</v>
      </c>
      <c r="C153" s="20">
        <v>40</v>
      </c>
      <c r="D153">
        <v>-1.6</v>
      </c>
      <c r="E153">
        <v>3</v>
      </c>
      <c r="F153" s="1">
        <v>1.0581194900121516</v>
      </c>
      <c r="G153" s="1">
        <v>-1.7745224935324708</v>
      </c>
      <c r="H153" s="1">
        <v>-2.1266784379633457</v>
      </c>
      <c r="J153" s="16">
        <v>80</v>
      </c>
      <c r="K153" s="17">
        <f>F151</f>
        <v>1.0289071257795384</v>
      </c>
      <c r="L153" s="17">
        <f>F157</f>
        <v>1.0405903755451447</v>
      </c>
      <c r="M153" s="17">
        <f>F163</f>
        <v>1.0563074979406348</v>
      </c>
      <c r="N153" s="17">
        <f>F169</f>
        <v>1.074403660448112</v>
      </c>
      <c r="O153" s="17">
        <f>F175</f>
        <v>1.0927039151412083</v>
      </c>
      <c r="P153" s="17">
        <f>F181</f>
        <v>1.1089570194969123</v>
      </c>
      <c r="Q153" s="17">
        <f>F187</f>
        <v>1.1212428404372059</v>
      </c>
      <c r="R153" s="18">
        <f>F193</f>
        <v>1.1282469876804091</v>
      </c>
      <c r="U153" s="16">
        <v>80</v>
      </c>
      <c r="V153" s="17">
        <v>1.0289071257795384</v>
      </c>
      <c r="W153" s="17">
        <v>1.0405903755451447</v>
      </c>
      <c r="X153" s="17">
        <v>1.0563074979406348</v>
      </c>
      <c r="Y153" s="17">
        <v>1.074403660448112</v>
      </c>
      <c r="Z153" s="17">
        <v>1.0927039151412083</v>
      </c>
      <c r="AA153" s="17">
        <v>1.1089570194969123</v>
      </c>
      <c r="AB153" s="17">
        <v>1.1212428404372059</v>
      </c>
      <c r="AC153" s="18">
        <v>1.1282469876804091</v>
      </c>
    </row>
    <row r="154" spans="1:29" ht="15.75" thickBot="1" x14ac:dyDescent="0.3">
      <c r="A154" t="s">
        <v>5</v>
      </c>
      <c r="B154" s="24">
        <v>50</v>
      </c>
      <c r="C154" s="20">
        <v>40</v>
      </c>
      <c r="D154">
        <v>-1.6</v>
      </c>
      <c r="E154">
        <v>3</v>
      </c>
      <c r="F154" s="1">
        <v>1.0562876618862422</v>
      </c>
      <c r="G154" s="1">
        <v>-1.4522775580696159</v>
      </c>
      <c r="H154" s="1">
        <v>-2.1320078727046563</v>
      </c>
    </row>
    <row r="155" spans="1:29" x14ac:dyDescent="0.25">
      <c r="A155" t="s">
        <v>5</v>
      </c>
      <c r="B155" s="24">
        <v>60</v>
      </c>
      <c r="C155" s="20">
        <v>40</v>
      </c>
      <c r="D155">
        <v>-1.6</v>
      </c>
      <c r="E155">
        <v>3</v>
      </c>
      <c r="F155" s="1">
        <v>1.0522330797579489</v>
      </c>
      <c r="G155" s="1">
        <v>-1.1272634385191649</v>
      </c>
      <c r="H155" s="1">
        <v>-2.0998054146758252</v>
      </c>
      <c r="J155" s="5" t="s">
        <v>12</v>
      </c>
      <c r="K155" s="6" t="s">
        <v>10</v>
      </c>
      <c r="L155" s="7"/>
      <c r="M155" s="8"/>
      <c r="N155" s="8"/>
      <c r="O155" s="8"/>
      <c r="P155" s="8"/>
      <c r="Q155" s="8"/>
      <c r="R155" s="9"/>
      <c r="U155" s="5" t="s">
        <v>12</v>
      </c>
      <c r="V155" s="6" t="s">
        <v>10</v>
      </c>
      <c r="W155" s="7"/>
      <c r="X155" s="8"/>
      <c r="Y155" s="8"/>
      <c r="Z155" s="8"/>
      <c r="AA155" s="8"/>
      <c r="AB155" s="8"/>
      <c r="AC155" s="9"/>
    </row>
    <row r="156" spans="1:29" x14ac:dyDescent="0.25">
      <c r="A156" t="s">
        <v>5</v>
      </c>
      <c r="B156" s="24">
        <v>70</v>
      </c>
      <c r="C156" s="20">
        <v>40</v>
      </c>
      <c r="D156">
        <v>-1.6</v>
      </c>
      <c r="E156">
        <v>3</v>
      </c>
      <c r="F156" s="1">
        <v>1.0458369530373306</v>
      </c>
      <c r="G156" s="1">
        <v>-0.87147940244376354</v>
      </c>
      <c r="H156" s="1">
        <v>-2.0375062988290149</v>
      </c>
      <c r="J156" s="10" t="s">
        <v>11</v>
      </c>
      <c r="K156" s="11">
        <v>30</v>
      </c>
      <c r="L156" s="11">
        <v>40</v>
      </c>
      <c r="M156" s="11">
        <v>50</v>
      </c>
      <c r="N156" s="11">
        <v>60</v>
      </c>
      <c r="O156" s="11">
        <v>70</v>
      </c>
      <c r="P156" s="11">
        <v>80</v>
      </c>
      <c r="Q156" s="11">
        <v>90</v>
      </c>
      <c r="R156" s="12">
        <v>100</v>
      </c>
      <c r="U156" s="10" t="s">
        <v>11</v>
      </c>
      <c r="V156" s="11">
        <v>30</v>
      </c>
      <c r="W156" s="11">
        <v>40</v>
      </c>
      <c r="X156" s="11">
        <v>50</v>
      </c>
      <c r="Y156" s="11">
        <v>60</v>
      </c>
      <c r="Z156" s="11">
        <v>70</v>
      </c>
      <c r="AA156" s="11">
        <v>80</v>
      </c>
      <c r="AB156" s="11">
        <v>90</v>
      </c>
      <c r="AC156" s="12">
        <v>100</v>
      </c>
    </row>
    <row r="157" spans="1:29" x14ac:dyDescent="0.25">
      <c r="A157" t="s">
        <v>5</v>
      </c>
      <c r="B157" s="24">
        <v>80</v>
      </c>
      <c r="C157" s="20">
        <v>40</v>
      </c>
      <c r="D157">
        <v>-1.6</v>
      </c>
      <c r="E157">
        <v>3</v>
      </c>
      <c r="F157" s="1">
        <v>1.0405903755451447</v>
      </c>
      <c r="G157" s="1">
        <v>-0.73321489350845792</v>
      </c>
      <c r="H157" s="1">
        <v>-1.976672971478175</v>
      </c>
      <c r="J157" s="13">
        <v>30</v>
      </c>
      <c r="K157" s="14">
        <f>G146</f>
        <v>-1.9222062110721367</v>
      </c>
      <c r="L157" s="14">
        <f>G152</f>
        <v>-2.0174577961357079</v>
      </c>
      <c r="M157" s="14">
        <f>G158</f>
        <v>-2.1047353386509289</v>
      </c>
      <c r="N157" s="14">
        <f>G164</f>
        <v>-2.1799833221336096</v>
      </c>
      <c r="O157" s="14">
        <f>G170</f>
        <v>-2.2432628979922962</v>
      </c>
      <c r="P157" s="14">
        <f>G176</f>
        <v>-2.2969461944888132</v>
      </c>
      <c r="Q157" s="14">
        <f>G182</f>
        <v>-2.340861687061297</v>
      </c>
      <c r="R157" s="15">
        <f>G188</f>
        <v>-2.3679781701865532</v>
      </c>
      <c r="U157" s="13">
        <v>30</v>
      </c>
      <c r="V157" s="14">
        <v>1.9222062110721367</v>
      </c>
      <c r="W157" s="14">
        <v>2.0174577961357079</v>
      </c>
      <c r="X157" s="14">
        <v>2.1047353386509289</v>
      </c>
      <c r="Y157" s="14">
        <v>2.1799833221336096</v>
      </c>
      <c r="Z157" s="14">
        <v>2.2432628979922962</v>
      </c>
      <c r="AA157" s="14">
        <v>2.2969461944888132</v>
      </c>
      <c r="AB157" s="14">
        <v>2.340861687061297</v>
      </c>
      <c r="AC157" s="15">
        <v>2.3679781701865532</v>
      </c>
    </row>
    <row r="158" spans="1:29" x14ac:dyDescent="0.25">
      <c r="A158" t="s">
        <v>5</v>
      </c>
      <c r="B158" s="24">
        <v>30</v>
      </c>
      <c r="C158" s="20">
        <v>50</v>
      </c>
      <c r="D158">
        <v>-1.6</v>
      </c>
      <c r="E158">
        <v>3</v>
      </c>
      <c r="F158" s="1">
        <v>1.076261378438006</v>
      </c>
      <c r="G158" s="1">
        <v>-2.1047353386509289</v>
      </c>
      <c r="H158" s="1">
        <v>-2.1157634545112645</v>
      </c>
      <c r="J158" s="13">
        <v>40</v>
      </c>
      <c r="K158" s="14">
        <f t="shared" ref="K158:K162" si="52">G147</f>
        <v>-1.689948061044644</v>
      </c>
      <c r="L158" s="14">
        <f t="shared" ref="L158:L162" si="53">G153</f>
        <v>-1.7745224935324708</v>
      </c>
      <c r="M158" s="14">
        <f>G159</f>
        <v>-1.865657732330666</v>
      </c>
      <c r="N158" s="14">
        <f>G165</f>
        <v>-1.9564586299959141</v>
      </c>
      <c r="O158" s="14">
        <f t="shared" ref="O158:O162" si="54">G171</f>
        <v>-2.0427809700471178</v>
      </c>
      <c r="P158" s="14">
        <f t="shared" ref="P158:P162" si="55">G177</f>
        <v>-2.1233044438969264</v>
      </c>
      <c r="Q158" s="14">
        <f>G183</f>
        <v>-2.1955669957075656</v>
      </c>
      <c r="R158" s="15">
        <f>G189</f>
        <v>-2.2512928184879897</v>
      </c>
      <c r="U158" s="13">
        <v>40</v>
      </c>
      <c r="V158" s="14">
        <v>1.689948061044644</v>
      </c>
      <c r="W158" s="14">
        <v>1.7745224935324708</v>
      </c>
      <c r="X158" s="14">
        <v>1.865657732330666</v>
      </c>
      <c r="Y158" s="14">
        <v>1.9564586299959141</v>
      </c>
      <c r="Z158" s="14">
        <v>2.0427809700471178</v>
      </c>
      <c r="AA158" s="14">
        <v>2.1233044438969264</v>
      </c>
      <c r="AB158" s="14">
        <v>2.1955669957075656</v>
      </c>
      <c r="AC158" s="15">
        <v>2.2512928184879897</v>
      </c>
    </row>
    <row r="159" spans="1:29" x14ac:dyDescent="0.25">
      <c r="A159" t="s">
        <v>5</v>
      </c>
      <c r="B159" s="24">
        <v>40</v>
      </c>
      <c r="C159" s="20">
        <v>50</v>
      </c>
      <c r="D159">
        <v>-1.6</v>
      </c>
      <c r="E159">
        <v>3</v>
      </c>
      <c r="F159" s="1">
        <v>1.0753891425553623</v>
      </c>
      <c r="G159" s="1">
        <v>-1.865657732330666</v>
      </c>
      <c r="H159" s="1">
        <v>-2.1410312224392056</v>
      </c>
      <c r="J159" s="13">
        <v>50</v>
      </c>
      <c r="K159" s="14">
        <f t="shared" si="52"/>
        <v>-1.3783697691385974</v>
      </c>
      <c r="L159" s="14">
        <f t="shared" si="53"/>
        <v>-1.4522775580696159</v>
      </c>
      <c r="M159" s="14">
        <f>G160</f>
        <v>-1.551036636418003</v>
      </c>
      <c r="N159" s="14">
        <f>G166</f>
        <v>-1.6621520773878133</v>
      </c>
      <c r="O159" s="14">
        <f t="shared" si="54"/>
        <v>-1.7739136970088878</v>
      </c>
      <c r="P159" s="14">
        <f t="shared" si="55"/>
        <v>-1.8787301037776298</v>
      </c>
      <c r="Q159" s="14">
        <f>G184</f>
        <v>-1.9713932098350104</v>
      </c>
      <c r="R159" s="15">
        <f>G190</f>
        <v>-2.0446161384417625</v>
      </c>
      <c r="U159" s="13">
        <v>50</v>
      </c>
      <c r="V159" s="14">
        <v>1.3783697691385974</v>
      </c>
      <c r="W159" s="14">
        <v>1.4522775580696159</v>
      </c>
      <c r="X159" s="14">
        <v>1.551036636418003</v>
      </c>
      <c r="Y159" s="14">
        <v>1.6621520773878133</v>
      </c>
      <c r="Z159" s="14">
        <v>1.7739136970088878</v>
      </c>
      <c r="AA159" s="14">
        <v>1.8787301037776298</v>
      </c>
      <c r="AB159" s="14">
        <v>1.9713932098350104</v>
      </c>
      <c r="AC159" s="15">
        <v>2.0446161384417625</v>
      </c>
    </row>
    <row r="160" spans="1:29" x14ac:dyDescent="0.25">
      <c r="A160" t="s">
        <v>5</v>
      </c>
      <c r="B160" s="24">
        <v>50</v>
      </c>
      <c r="C160" s="20">
        <v>50</v>
      </c>
      <c r="D160">
        <v>-1.6</v>
      </c>
      <c r="E160">
        <v>3</v>
      </c>
      <c r="F160" s="1">
        <v>1.0740409532976272</v>
      </c>
      <c r="G160" s="1">
        <v>-1.551036636418003</v>
      </c>
      <c r="H160" s="1">
        <v>-2.1504171126188831</v>
      </c>
      <c r="J160" s="13">
        <v>60</v>
      </c>
      <c r="K160" s="14">
        <f t="shared" si="52"/>
        <v>-1.0662884395568837</v>
      </c>
      <c r="L160" s="14">
        <f t="shared" si="53"/>
        <v>-1.1272634385191649</v>
      </c>
      <c r="M160" s="14">
        <f>G161</f>
        <v>-1.2302117293023931</v>
      </c>
      <c r="N160" s="14">
        <f>G167</f>
        <v>-1.3574697249338934</v>
      </c>
      <c r="O160" s="14">
        <f t="shared" si="54"/>
        <v>-1.4900171379118554</v>
      </c>
      <c r="P160" s="14">
        <f t="shared" si="55"/>
        <v>-1.6138393108047011</v>
      </c>
      <c r="Q160" s="14">
        <f>G185</f>
        <v>-1.7206970143666602</v>
      </c>
      <c r="R160" s="15">
        <f>G191</f>
        <v>-1.8044965219897025</v>
      </c>
      <c r="U160" s="13">
        <v>60</v>
      </c>
      <c r="V160" s="14">
        <v>1.0662884395568837</v>
      </c>
      <c r="W160" s="14">
        <v>1.1272634385191649</v>
      </c>
      <c r="X160" s="14">
        <v>1.2302117293023931</v>
      </c>
      <c r="Y160" s="14">
        <v>1.3574697249338934</v>
      </c>
      <c r="Z160" s="14">
        <v>1.4900171379118554</v>
      </c>
      <c r="AA160" s="14">
        <v>1.6138393108047011</v>
      </c>
      <c r="AB160" s="14">
        <v>1.7206970143666602</v>
      </c>
      <c r="AC160" s="15">
        <v>1.8044965219897025</v>
      </c>
    </row>
    <row r="161" spans="1:29" x14ac:dyDescent="0.25">
      <c r="A161" t="s">
        <v>5</v>
      </c>
      <c r="B161" s="24">
        <v>60</v>
      </c>
      <c r="C161" s="20">
        <v>50</v>
      </c>
      <c r="D161">
        <v>-1.6</v>
      </c>
      <c r="E161">
        <v>3</v>
      </c>
      <c r="F161" s="1">
        <v>1.0700028802812576</v>
      </c>
      <c r="G161" s="1">
        <v>-1.2302117293023931</v>
      </c>
      <c r="H161" s="1">
        <v>-2.12274078116958</v>
      </c>
      <c r="J161" s="13">
        <v>70</v>
      </c>
      <c r="K161" s="14">
        <f t="shared" si="52"/>
        <v>-0.83373690716351856</v>
      </c>
      <c r="L161" s="14">
        <f t="shared" si="53"/>
        <v>-0.87147940244376354</v>
      </c>
      <c r="M161" s="14">
        <f>G162</f>
        <v>-0.96082263547394997</v>
      </c>
      <c r="N161" s="14">
        <f>G168</f>
        <v>-1.0835004552696481</v>
      </c>
      <c r="O161" s="14">
        <f t="shared" si="54"/>
        <v>-1.2183184702758418</v>
      </c>
      <c r="P161" s="14">
        <f t="shared" si="55"/>
        <v>-1.3484696991008056</v>
      </c>
      <c r="Q161" s="14">
        <f>G186</f>
        <v>-1.4636453018438533</v>
      </c>
      <c r="R161" s="15">
        <f>G192</f>
        <v>-1.5574994045818089</v>
      </c>
      <c r="U161" s="13">
        <v>70</v>
      </c>
      <c r="V161" s="14">
        <v>0.83373690716351856</v>
      </c>
      <c r="W161" s="14">
        <v>0.87147940244376354</v>
      </c>
      <c r="X161" s="14">
        <v>0.96082263547394997</v>
      </c>
      <c r="Y161" s="14">
        <v>1.0835004552696481</v>
      </c>
      <c r="Z161" s="14">
        <v>1.2183184702758418</v>
      </c>
      <c r="AA161" s="14">
        <v>1.3484696991008056</v>
      </c>
      <c r="AB161" s="14">
        <v>1.4636453018438533</v>
      </c>
      <c r="AC161" s="15">
        <v>1.5574994045818089</v>
      </c>
    </row>
    <row r="162" spans="1:29" ht="15.75" thickBot="1" x14ac:dyDescent="0.3">
      <c r="A162" t="s">
        <v>5</v>
      </c>
      <c r="B162" s="24">
        <v>70</v>
      </c>
      <c r="C162" s="20">
        <v>50</v>
      </c>
      <c r="D162">
        <v>-1.6</v>
      </c>
      <c r="E162">
        <v>3</v>
      </c>
      <c r="F162" s="1">
        <v>1.0629671273894323</v>
      </c>
      <c r="G162" s="1">
        <v>-0.96082263547394997</v>
      </c>
      <c r="H162" s="1">
        <v>-2.0655158828857139</v>
      </c>
      <c r="J162" s="16">
        <v>80</v>
      </c>
      <c r="K162" s="17">
        <f t="shared" si="52"/>
        <v>-0.73045984745865011</v>
      </c>
      <c r="L162" s="17">
        <f t="shared" si="53"/>
        <v>-0.73321489350845792</v>
      </c>
      <c r="M162" s="17">
        <f>G163</f>
        <v>-0.78653595207937421</v>
      </c>
      <c r="N162" s="17">
        <f>G169</f>
        <v>-0.87744571397159099</v>
      </c>
      <c r="O162" s="17">
        <f t="shared" si="54"/>
        <v>-0.98945272371842519</v>
      </c>
      <c r="P162" s="17">
        <f t="shared" si="55"/>
        <v>-1.1082392609219156</v>
      </c>
      <c r="Q162" s="17">
        <f>G187</f>
        <v>-1.2234171808481635</v>
      </c>
      <c r="R162" s="18">
        <f>G193</f>
        <v>-1.3269724437335084</v>
      </c>
      <c r="U162" s="16">
        <v>80</v>
      </c>
      <c r="V162" s="17">
        <v>0.73045984745865011</v>
      </c>
      <c r="W162" s="17">
        <v>0.73321489350845792</v>
      </c>
      <c r="X162" s="17">
        <v>0.78653595207937421</v>
      </c>
      <c r="Y162" s="17">
        <v>0.87744571397159099</v>
      </c>
      <c r="Z162" s="17">
        <v>0.98945272371842519</v>
      </c>
      <c r="AA162" s="17">
        <v>1.1082392609219156</v>
      </c>
      <c r="AB162" s="17">
        <v>1.2234171808481635</v>
      </c>
      <c r="AC162" s="18">
        <v>1.3269724437335084</v>
      </c>
    </row>
    <row r="163" spans="1:29" ht="15.75" thickBot="1" x14ac:dyDescent="0.3">
      <c r="A163" t="s">
        <v>5</v>
      </c>
      <c r="B163" s="24">
        <v>80</v>
      </c>
      <c r="C163" s="20">
        <v>50</v>
      </c>
      <c r="D163">
        <v>-1.6</v>
      </c>
      <c r="E163">
        <v>3</v>
      </c>
      <c r="F163" s="1">
        <v>1.0563074979406348</v>
      </c>
      <c r="G163" s="1">
        <v>-0.78653595207937421</v>
      </c>
      <c r="H163" s="1">
        <v>-2.0119001854122365</v>
      </c>
    </row>
    <row r="164" spans="1:29" x14ac:dyDescent="0.25">
      <c r="A164" t="s">
        <v>5</v>
      </c>
      <c r="B164" s="24">
        <v>30</v>
      </c>
      <c r="C164" s="20">
        <v>60</v>
      </c>
      <c r="D164">
        <v>-1.6</v>
      </c>
      <c r="E164">
        <v>3</v>
      </c>
      <c r="F164" s="1">
        <v>1.0945305326369394</v>
      </c>
      <c r="G164" s="1">
        <v>-2.1799833221336096</v>
      </c>
      <c r="H164" s="1">
        <v>-2.1131415565242735</v>
      </c>
      <c r="J164" s="5" t="s">
        <v>13</v>
      </c>
      <c r="K164" s="6" t="s">
        <v>10</v>
      </c>
      <c r="L164" s="7"/>
      <c r="M164" s="8"/>
      <c r="N164" s="8"/>
      <c r="O164" s="8"/>
      <c r="P164" s="8"/>
      <c r="Q164" s="8"/>
      <c r="R164" s="9"/>
      <c r="U164" s="5" t="s">
        <v>13</v>
      </c>
      <c r="V164" s="6" t="s">
        <v>10</v>
      </c>
      <c r="W164" s="7"/>
      <c r="X164" s="8"/>
      <c r="Y164" s="8"/>
      <c r="Z164" s="8"/>
      <c r="AA164" s="8"/>
      <c r="AB164" s="8"/>
      <c r="AC164" s="9"/>
    </row>
    <row r="165" spans="1:29" x14ac:dyDescent="0.25">
      <c r="A165" t="s">
        <v>5</v>
      </c>
      <c r="B165" s="24">
        <v>40</v>
      </c>
      <c r="C165" s="20">
        <v>60</v>
      </c>
      <c r="D165">
        <v>-1.6</v>
      </c>
      <c r="E165">
        <v>3</v>
      </c>
      <c r="F165" s="1">
        <v>1.0941358927087088</v>
      </c>
      <c r="G165" s="1">
        <v>-1.9564586299959141</v>
      </c>
      <c r="H165" s="1">
        <v>-2.1419917702692897</v>
      </c>
      <c r="J165" s="10" t="s">
        <v>11</v>
      </c>
      <c r="K165" s="11">
        <v>30</v>
      </c>
      <c r="L165" s="11">
        <v>40</v>
      </c>
      <c r="M165" s="11">
        <v>50</v>
      </c>
      <c r="N165" s="11">
        <v>60</v>
      </c>
      <c r="O165" s="11">
        <v>70</v>
      </c>
      <c r="P165" s="11">
        <v>80</v>
      </c>
      <c r="Q165" s="11">
        <v>90</v>
      </c>
      <c r="R165" s="12">
        <v>100</v>
      </c>
      <c r="U165" s="10" t="s">
        <v>11</v>
      </c>
      <c r="V165" s="11">
        <v>30</v>
      </c>
      <c r="W165" s="11">
        <v>40</v>
      </c>
      <c r="X165" s="11">
        <v>50</v>
      </c>
      <c r="Y165" s="11">
        <v>60</v>
      </c>
      <c r="Z165" s="11">
        <v>70</v>
      </c>
      <c r="AA165" s="11">
        <v>80</v>
      </c>
      <c r="AB165" s="11">
        <v>90</v>
      </c>
      <c r="AC165" s="12">
        <v>100</v>
      </c>
    </row>
    <row r="166" spans="1:29" x14ac:dyDescent="0.25">
      <c r="A166" t="s">
        <v>5</v>
      </c>
      <c r="B166" s="24">
        <v>50</v>
      </c>
      <c r="C166" s="20">
        <v>60</v>
      </c>
      <c r="D166">
        <v>-1.6</v>
      </c>
      <c r="E166">
        <v>3</v>
      </c>
      <c r="F166" s="1">
        <v>1.0928008081581126</v>
      </c>
      <c r="G166" s="1">
        <v>-1.6621520773878133</v>
      </c>
      <c r="H166" s="1">
        <v>-2.1617670972889309</v>
      </c>
      <c r="J166" s="13">
        <v>30</v>
      </c>
      <c r="K166" s="14">
        <f>H146</f>
        <v>-2.079516329276478</v>
      </c>
      <c r="L166" s="14">
        <f>H152</f>
        <v>-2.1023728129214212</v>
      </c>
      <c r="M166" s="14">
        <f>H158</f>
        <v>-2.1157634545112645</v>
      </c>
      <c r="N166" s="14">
        <f>H164</f>
        <v>-2.1131415565242735</v>
      </c>
      <c r="O166" s="14">
        <f>H170</f>
        <v>-2.0871909909391921</v>
      </c>
      <c r="P166" s="14">
        <f>H176</f>
        <v>-2.0350818876245578</v>
      </c>
      <c r="Q166" s="14">
        <f>H182</f>
        <v>-1.9626989394856948</v>
      </c>
      <c r="R166" s="15">
        <f>H188</f>
        <v>-1.8841726382298709</v>
      </c>
      <c r="U166" s="13">
        <v>30</v>
      </c>
      <c r="V166" s="14">
        <v>2.079516329276478</v>
      </c>
      <c r="W166" s="14">
        <v>2.1023728129214212</v>
      </c>
      <c r="X166" s="14">
        <v>2.1157634545112645</v>
      </c>
      <c r="Y166" s="14">
        <v>2.1131415565242735</v>
      </c>
      <c r="Z166" s="14">
        <v>2.0871909909391921</v>
      </c>
      <c r="AA166" s="14">
        <v>2.0350818876245578</v>
      </c>
      <c r="AB166" s="14">
        <v>1.9626989394856948</v>
      </c>
      <c r="AC166" s="15">
        <v>1.8841726382298709</v>
      </c>
    </row>
    <row r="167" spans="1:29" x14ac:dyDescent="0.25">
      <c r="A167" t="s">
        <v>5</v>
      </c>
      <c r="B167" s="24">
        <v>60</v>
      </c>
      <c r="C167" s="20">
        <v>60</v>
      </c>
      <c r="D167">
        <v>-1.6</v>
      </c>
      <c r="E167">
        <v>3</v>
      </c>
      <c r="F167" s="1">
        <v>1.088812182334731</v>
      </c>
      <c r="G167" s="1">
        <v>-1.3574697249338934</v>
      </c>
      <c r="H167" s="1">
        <v>-2.1475597086988252</v>
      </c>
      <c r="J167" s="13">
        <v>40</v>
      </c>
      <c r="K167" s="14">
        <f>H147</f>
        <v>-2.1060322607504003</v>
      </c>
      <c r="L167" s="14">
        <f>H153</f>
        <v>-2.1266784379633457</v>
      </c>
      <c r="M167" s="14">
        <f>H159</f>
        <v>-2.1410312224392056</v>
      </c>
      <c r="N167" s="14">
        <f>H165</f>
        <v>-2.1419917702692897</v>
      </c>
      <c r="O167" s="14">
        <f>H171</f>
        <v>-2.1188963106658871</v>
      </c>
      <c r="P167" s="14">
        <f>H177</f>
        <v>-2.0646139712606151</v>
      </c>
      <c r="Q167" s="14">
        <f>H183</f>
        <v>-1.9826424823845779</v>
      </c>
      <c r="R167" s="15">
        <f>H189</f>
        <v>-1.8884879802170582</v>
      </c>
      <c r="U167" s="13">
        <v>40</v>
      </c>
      <c r="V167" s="14">
        <v>2.1060322607504003</v>
      </c>
      <c r="W167" s="14">
        <v>2.1266784379633457</v>
      </c>
      <c r="X167" s="14">
        <v>2.1410312224392056</v>
      </c>
      <c r="Y167" s="14">
        <v>2.1419917702692897</v>
      </c>
      <c r="Z167" s="14">
        <v>2.1188963106658871</v>
      </c>
      <c r="AA167" s="14">
        <v>2.0646139712606151</v>
      </c>
      <c r="AB167" s="14">
        <v>1.9826424823845779</v>
      </c>
      <c r="AC167" s="15">
        <v>1.8884879802170582</v>
      </c>
    </row>
    <row r="168" spans="1:29" x14ac:dyDescent="0.25">
      <c r="A168" t="s">
        <v>5</v>
      </c>
      <c r="B168" s="24">
        <v>70</v>
      </c>
      <c r="C168" s="20">
        <v>60</v>
      </c>
      <c r="D168">
        <v>-1.6</v>
      </c>
      <c r="E168">
        <v>3</v>
      </c>
      <c r="F168" s="1">
        <v>1.0817546401541984</v>
      </c>
      <c r="G168" s="1">
        <v>-1.0835004552696481</v>
      </c>
      <c r="H168" s="1">
        <v>-2.1037681864681832</v>
      </c>
      <c r="J168" s="13">
        <v>50</v>
      </c>
      <c r="K168" s="14">
        <f>H148</f>
        <v>-2.1138987196149603</v>
      </c>
      <c r="L168" s="14">
        <f>H154</f>
        <v>-2.1320078727046563</v>
      </c>
      <c r="M168" s="14">
        <f>H160</f>
        <v>-2.1504171126188831</v>
      </c>
      <c r="N168" s="14">
        <f>H166</f>
        <v>-2.1617670972889309</v>
      </c>
      <c r="O168" s="14">
        <f>H172</f>
        <v>-2.1509347536442043</v>
      </c>
      <c r="P168" s="14">
        <f>H178</f>
        <v>-2.1040866646912182</v>
      </c>
      <c r="Q168" s="14">
        <f>H184</f>
        <v>-2.0195178815121433</v>
      </c>
      <c r="R168" s="15">
        <f>H190</f>
        <v>-1.912120892029977</v>
      </c>
      <c r="U168" s="13">
        <v>50</v>
      </c>
      <c r="V168" s="14">
        <v>2.1138987196149603</v>
      </c>
      <c r="W168" s="14">
        <v>2.1320078727046563</v>
      </c>
      <c r="X168" s="14">
        <v>2.1504171126188831</v>
      </c>
      <c r="Y168" s="14">
        <v>2.1617670972889309</v>
      </c>
      <c r="Z168" s="14">
        <v>2.1509347536442043</v>
      </c>
      <c r="AA168" s="14">
        <v>2.1040866646912182</v>
      </c>
      <c r="AB168" s="14">
        <v>2.0195178815121433</v>
      </c>
      <c r="AC168" s="15">
        <v>1.912120892029977</v>
      </c>
    </row>
    <row r="169" spans="1:29" x14ac:dyDescent="0.25">
      <c r="A169" t="s">
        <v>5</v>
      </c>
      <c r="B169" s="24">
        <v>80</v>
      </c>
      <c r="C169" s="20">
        <v>60</v>
      </c>
      <c r="D169">
        <v>-1.6</v>
      </c>
      <c r="E169">
        <v>3</v>
      </c>
      <c r="F169" s="1">
        <v>1.074403660448112</v>
      </c>
      <c r="G169" s="1">
        <v>-0.87744571397159099</v>
      </c>
      <c r="H169" s="1">
        <v>-2.0616817159622762</v>
      </c>
      <c r="J169" s="13">
        <v>60</v>
      </c>
      <c r="K169" s="14">
        <f>H149</f>
        <v>-2.0859022862715046</v>
      </c>
      <c r="L169" s="14">
        <f>H155</f>
        <v>-2.0998054146758252</v>
      </c>
      <c r="M169" s="14">
        <f>H161</f>
        <v>-2.12274078116958</v>
      </c>
      <c r="N169" s="14">
        <f>H167</f>
        <v>-2.1475597086988252</v>
      </c>
      <c r="O169" s="14">
        <f>H173</f>
        <v>-2.1549346245836545</v>
      </c>
      <c r="P169" s="14">
        <f>H179</f>
        <v>-2.1239186823895215</v>
      </c>
      <c r="Q169" s="14">
        <f>H185</f>
        <v>-2.0462715111164513</v>
      </c>
      <c r="R169" s="15">
        <f>H191</f>
        <v>-1.9343039954740908</v>
      </c>
      <c r="U169" s="13">
        <v>60</v>
      </c>
      <c r="V169" s="14">
        <v>2.0859022862715046</v>
      </c>
      <c r="W169" s="14">
        <v>2.0998054146758252</v>
      </c>
      <c r="X169" s="14">
        <v>2.12274078116958</v>
      </c>
      <c r="Y169" s="14">
        <v>2.1475597086988252</v>
      </c>
      <c r="Z169" s="14">
        <v>2.1549346245836545</v>
      </c>
      <c r="AA169" s="14">
        <v>2.1239186823895215</v>
      </c>
      <c r="AB169" s="14">
        <v>2.0462715111164513</v>
      </c>
      <c r="AC169" s="15">
        <v>1.9343039954740908</v>
      </c>
    </row>
    <row r="170" spans="1:29" x14ac:dyDescent="0.25">
      <c r="A170" t="s">
        <v>5</v>
      </c>
      <c r="B170" s="24">
        <v>30</v>
      </c>
      <c r="C170" s="20">
        <v>70</v>
      </c>
      <c r="D170">
        <v>-1.6</v>
      </c>
      <c r="E170">
        <v>3</v>
      </c>
      <c r="F170" s="1">
        <v>1.1123959568506132</v>
      </c>
      <c r="G170" s="1">
        <v>-2.2432628979922962</v>
      </c>
      <c r="H170" s="1">
        <v>-2.0871909909391921</v>
      </c>
      <c r="J170" s="13">
        <v>70</v>
      </c>
      <c r="K170" s="14">
        <f>H150</f>
        <v>-2.0265680392258254</v>
      </c>
      <c r="L170" s="14">
        <f>H156</f>
        <v>-2.0375062988290149</v>
      </c>
      <c r="M170" s="14">
        <f>H162</f>
        <v>-2.0655158828857139</v>
      </c>
      <c r="N170" s="14">
        <f>H168</f>
        <v>-2.1037681864681832</v>
      </c>
      <c r="O170" s="14">
        <f>H174</f>
        <v>-2.1303525929826197</v>
      </c>
      <c r="P170" s="14">
        <f>H180</f>
        <v>-2.1193626337048808</v>
      </c>
      <c r="Q170" s="14">
        <f>H186</f>
        <v>-2.0570907527453239</v>
      </c>
      <c r="R170" s="15">
        <f>H192</f>
        <v>-1.9521892315308313</v>
      </c>
      <c r="U170" s="13">
        <v>70</v>
      </c>
      <c r="V170" s="14">
        <v>2.0265680392258254</v>
      </c>
      <c r="W170" s="14">
        <v>2.0375062988290149</v>
      </c>
      <c r="X170" s="14">
        <v>2.0655158828857139</v>
      </c>
      <c r="Y170" s="14">
        <v>2.1037681864681832</v>
      </c>
      <c r="Z170" s="14">
        <v>2.1303525929826197</v>
      </c>
      <c r="AA170" s="14">
        <v>2.1193626337048808</v>
      </c>
      <c r="AB170" s="14">
        <v>2.0570907527453239</v>
      </c>
      <c r="AC170" s="15">
        <v>1.9521892315308313</v>
      </c>
    </row>
    <row r="171" spans="1:29" ht="15.75" thickBot="1" x14ac:dyDescent="0.3">
      <c r="A171" t="s">
        <v>5</v>
      </c>
      <c r="B171" s="24">
        <v>40</v>
      </c>
      <c r="C171" s="20">
        <v>70</v>
      </c>
      <c r="D171">
        <v>-1.6</v>
      </c>
      <c r="E171">
        <v>3</v>
      </c>
      <c r="F171" s="1">
        <v>1.1124749214305454</v>
      </c>
      <c r="G171" s="1">
        <v>-2.0427809700471178</v>
      </c>
      <c r="H171" s="1">
        <v>-2.1188963106658871</v>
      </c>
      <c r="J171" s="16">
        <v>80</v>
      </c>
      <c r="K171" s="17">
        <f>H151</f>
        <v>-1.9629149990314692</v>
      </c>
      <c r="L171" s="17">
        <f>H157</f>
        <v>-1.976672971478175</v>
      </c>
      <c r="M171" s="17">
        <f>H163</f>
        <v>-2.0119001854122365</v>
      </c>
      <c r="N171" s="17">
        <f>H169</f>
        <v>-2.0616817159622762</v>
      </c>
      <c r="O171" s="17">
        <f>H175</f>
        <v>-2.1038151373203409</v>
      </c>
      <c r="P171" s="17">
        <f>H181</f>
        <v>-2.1112484883730991</v>
      </c>
      <c r="Q171" s="17">
        <f>H187</f>
        <v>-2.0677895098677364</v>
      </c>
      <c r="R171" s="18">
        <f>H193</f>
        <v>-1.9786413810721575</v>
      </c>
      <c r="U171" s="16">
        <v>80</v>
      </c>
      <c r="V171" s="17">
        <v>1.9629149990314692</v>
      </c>
      <c r="W171" s="17">
        <v>1.976672971478175</v>
      </c>
      <c r="X171" s="17">
        <v>2.0119001854122365</v>
      </c>
      <c r="Y171" s="17">
        <v>2.0616817159622762</v>
      </c>
      <c r="Z171" s="17">
        <v>2.1038151373203409</v>
      </c>
      <c r="AA171" s="17">
        <v>2.1112484883730991</v>
      </c>
      <c r="AB171" s="17">
        <v>2.0677895098677364</v>
      </c>
      <c r="AC171" s="18">
        <v>1.9786413810721575</v>
      </c>
    </row>
    <row r="172" spans="1:29" ht="15.75" thickBot="1" x14ac:dyDescent="0.3">
      <c r="A172" t="s">
        <v>5</v>
      </c>
      <c r="B172" s="24">
        <v>50</v>
      </c>
      <c r="C172" s="20">
        <v>70</v>
      </c>
      <c r="D172">
        <v>-1.6</v>
      </c>
      <c r="E172">
        <v>3</v>
      </c>
      <c r="F172" s="1">
        <v>1.1110046742669195</v>
      </c>
      <c r="G172" s="1">
        <v>-1.7739136970088878</v>
      </c>
      <c r="H172" s="1">
        <v>-2.1509347536442043</v>
      </c>
    </row>
    <row r="173" spans="1:29" x14ac:dyDescent="0.25">
      <c r="A173" t="s">
        <v>5</v>
      </c>
      <c r="B173" s="24">
        <v>60</v>
      </c>
      <c r="C173" s="20">
        <v>70</v>
      </c>
      <c r="D173">
        <v>-1.6</v>
      </c>
      <c r="E173">
        <v>3</v>
      </c>
      <c r="F173" s="1">
        <v>1.1070658259014834</v>
      </c>
      <c r="G173" s="1">
        <v>-1.4900171379118554</v>
      </c>
      <c r="H173" s="1">
        <v>-2.1549346245836545</v>
      </c>
      <c r="J173" s="5" t="s">
        <v>29</v>
      </c>
      <c r="K173" s="6" t="s">
        <v>10</v>
      </c>
      <c r="L173" s="7"/>
      <c r="M173" s="8"/>
      <c r="N173" s="8"/>
      <c r="O173" s="8"/>
      <c r="P173" s="8"/>
      <c r="Q173" s="8"/>
      <c r="R173" s="9"/>
      <c r="U173" s="5" t="s">
        <v>29</v>
      </c>
      <c r="V173" s="6" t="s">
        <v>10</v>
      </c>
      <c r="W173" s="7"/>
      <c r="X173" s="8"/>
      <c r="Y173" s="8"/>
      <c r="Z173" s="8"/>
      <c r="AA173" s="8"/>
      <c r="AB173" s="8"/>
      <c r="AC173" s="9"/>
    </row>
    <row r="174" spans="1:29" x14ac:dyDescent="0.25">
      <c r="A174" t="s">
        <v>5</v>
      </c>
      <c r="B174" s="24">
        <v>70</v>
      </c>
      <c r="C174" s="20">
        <v>70</v>
      </c>
      <c r="D174">
        <v>-1.6</v>
      </c>
      <c r="E174">
        <v>3</v>
      </c>
      <c r="F174" s="1">
        <v>1.1003028027298043</v>
      </c>
      <c r="G174" s="1">
        <v>-1.2183184702758418</v>
      </c>
      <c r="H174" s="1">
        <v>-2.1303525929826197</v>
      </c>
      <c r="J174" s="10" t="s">
        <v>11</v>
      </c>
      <c r="K174" s="11">
        <v>30</v>
      </c>
      <c r="L174" s="11">
        <v>40</v>
      </c>
      <c r="M174" s="11">
        <v>50</v>
      </c>
      <c r="N174" s="11">
        <v>60</v>
      </c>
      <c r="O174" s="11">
        <v>70</v>
      </c>
      <c r="P174" s="11">
        <v>80</v>
      </c>
      <c r="Q174" s="11">
        <v>90</v>
      </c>
      <c r="R174" s="12">
        <v>100</v>
      </c>
      <c r="U174" s="10" t="s">
        <v>11</v>
      </c>
      <c r="V174" s="11">
        <v>30</v>
      </c>
      <c r="W174" s="11">
        <v>40</v>
      </c>
      <c r="X174" s="11">
        <v>50</v>
      </c>
      <c r="Y174" s="11">
        <v>60</v>
      </c>
      <c r="Z174" s="11">
        <v>70</v>
      </c>
      <c r="AA174" s="11">
        <v>80</v>
      </c>
      <c r="AB174" s="11">
        <v>90</v>
      </c>
      <c r="AC174" s="12">
        <v>100</v>
      </c>
    </row>
    <row r="175" spans="1:29" x14ac:dyDescent="0.25">
      <c r="A175" t="s">
        <v>5</v>
      </c>
      <c r="B175" s="24">
        <v>80</v>
      </c>
      <c r="C175" s="20">
        <v>70</v>
      </c>
      <c r="D175">
        <v>-1.6</v>
      </c>
      <c r="E175">
        <v>3</v>
      </c>
      <c r="F175" s="1">
        <v>1.0927039151412083</v>
      </c>
      <c r="G175" s="1">
        <v>-0.98945272371842519</v>
      </c>
      <c r="H175" s="1">
        <v>-2.1038151373203409</v>
      </c>
      <c r="J175" s="13">
        <v>30</v>
      </c>
      <c r="K175" s="31">
        <f>K157+K166</f>
        <v>-4.0017225403486147</v>
      </c>
      <c r="L175" s="31">
        <f t="shared" ref="L175:R175" si="56">L157+L166</f>
        <v>-4.1198306090571286</v>
      </c>
      <c r="M175" s="31">
        <f t="shared" si="56"/>
        <v>-4.2204987931621929</v>
      </c>
      <c r="N175" s="31">
        <f t="shared" si="56"/>
        <v>-4.2931248786578831</v>
      </c>
      <c r="O175" s="31">
        <f t="shared" si="56"/>
        <v>-4.3304538889314887</v>
      </c>
      <c r="P175" s="31">
        <f t="shared" si="56"/>
        <v>-4.3320280821133714</v>
      </c>
      <c r="Q175" s="31">
        <f t="shared" si="56"/>
        <v>-4.3035606265469921</v>
      </c>
      <c r="R175" s="15">
        <f t="shared" si="56"/>
        <v>-4.2521508084164239</v>
      </c>
      <c r="U175" s="13">
        <v>30</v>
      </c>
      <c r="V175" s="31">
        <v>4.0017225403486147</v>
      </c>
      <c r="W175" s="31">
        <v>4.1198306090571286</v>
      </c>
      <c r="X175" s="31">
        <v>4.2204987931621929</v>
      </c>
      <c r="Y175" s="31">
        <v>4.2931248786578831</v>
      </c>
      <c r="Z175" s="31">
        <v>4.3304538889314887</v>
      </c>
      <c r="AA175" s="31">
        <v>4.3320280821133714</v>
      </c>
      <c r="AB175" s="31">
        <v>4.3035606265469921</v>
      </c>
      <c r="AC175" s="15">
        <v>4.2521508084164239</v>
      </c>
    </row>
    <row r="176" spans="1:29" x14ac:dyDescent="0.25">
      <c r="A176" t="s">
        <v>5</v>
      </c>
      <c r="B176" s="24">
        <v>30</v>
      </c>
      <c r="C176" s="20">
        <v>80</v>
      </c>
      <c r="D176">
        <v>-1.6</v>
      </c>
      <c r="E176">
        <v>3</v>
      </c>
      <c r="F176" s="1">
        <v>1.1277305561766624</v>
      </c>
      <c r="G176" s="1">
        <v>-2.2969461944888132</v>
      </c>
      <c r="H176" s="1">
        <v>-2.0350818876245578</v>
      </c>
      <c r="J176" s="13">
        <v>40</v>
      </c>
      <c r="K176" s="31">
        <f t="shared" ref="K176:R176" si="57">K158+K167</f>
        <v>-3.7959803217950441</v>
      </c>
      <c r="L176" s="31">
        <f t="shared" si="57"/>
        <v>-3.9012009314958167</v>
      </c>
      <c r="M176" s="31">
        <f t="shared" si="57"/>
        <v>-4.0066889547698716</v>
      </c>
      <c r="N176" s="31">
        <f t="shared" si="57"/>
        <v>-4.0984504002652038</v>
      </c>
      <c r="O176" s="31">
        <f t="shared" si="57"/>
        <v>-4.1616772807130049</v>
      </c>
      <c r="P176" s="31">
        <f t="shared" si="57"/>
        <v>-4.1879184151575419</v>
      </c>
      <c r="Q176" s="31">
        <f t="shared" si="57"/>
        <v>-4.1782094780921435</v>
      </c>
      <c r="R176" s="15">
        <f t="shared" si="57"/>
        <v>-4.1397807987050479</v>
      </c>
      <c r="U176" s="13">
        <v>40</v>
      </c>
      <c r="V176" s="31">
        <v>3.7959803217950441</v>
      </c>
      <c r="W176" s="31">
        <v>3.9012009314958167</v>
      </c>
      <c r="X176" s="31">
        <v>4.0066889547698716</v>
      </c>
      <c r="Y176" s="31">
        <v>4.0984504002652038</v>
      </c>
      <c r="Z176" s="31">
        <v>4.1616772807130049</v>
      </c>
      <c r="AA176" s="31">
        <v>4.1879184151575419</v>
      </c>
      <c r="AB176" s="31">
        <v>4.1782094780921435</v>
      </c>
      <c r="AC176" s="15">
        <v>4.1397807987050479</v>
      </c>
    </row>
    <row r="177" spans="1:29" x14ac:dyDescent="0.25">
      <c r="A177" t="s">
        <v>5</v>
      </c>
      <c r="B177" s="24">
        <v>40</v>
      </c>
      <c r="C177" s="20">
        <v>80</v>
      </c>
      <c r="D177">
        <v>-1.6</v>
      </c>
      <c r="E177">
        <v>3</v>
      </c>
      <c r="F177" s="1">
        <v>1.1288341383900462</v>
      </c>
      <c r="G177" s="1">
        <v>-2.1233044438969264</v>
      </c>
      <c r="H177" s="1">
        <v>-2.0646139712606151</v>
      </c>
      <c r="J177" s="13">
        <v>50</v>
      </c>
      <c r="K177" s="31">
        <f t="shared" ref="K177:R177" si="58">K159+K168</f>
        <v>-3.4922684887535578</v>
      </c>
      <c r="L177" s="31">
        <f t="shared" si="58"/>
        <v>-3.5842854307742722</v>
      </c>
      <c r="M177" s="31">
        <f t="shared" si="58"/>
        <v>-3.7014537490368862</v>
      </c>
      <c r="N177" s="31">
        <f t="shared" si="58"/>
        <v>-3.8239191746767442</v>
      </c>
      <c r="O177" s="31">
        <f t="shared" si="58"/>
        <v>-3.9248484506530921</v>
      </c>
      <c r="P177" s="31">
        <f t="shared" si="58"/>
        <v>-3.9828167684688482</v>
      </c>
      <c r="Q177" s="31">
        <f t="shared" si="58"/>
        <v>-3.9909110913471535</v>
      </c>
      <c r="R177" s="15">
        <f t="shared" si="58"/>
        <v>-3.9567370304717393</v>
      </c>
      <c r="U177" s="13">
        <v>50</v>
      </c>
      <c r="V177" s="31">
        <v>3.4922684887535578</v>
      </c>
      <c r="W177" s="31">
        <v>3.5842854307742722</v>
      </c>
      <c r="X177" s="31">
        <v>3.7014537490368862</v>
      </c>
      <c r="Y177" s="31">
        <v>3.8239191746767442</v>
      </c>
      <c r="Z177" s="31">
        <v>3.9248484506530921</v>
      </c>
      <c r="AA177" s="31">
        <v>3.9828167684688482</v>
      </c>
      <c r="AB177" s="31">
        <v>3.9909110913471535</v>
      </c>
      <c r="AC177" s="15">
        <v>3.9567370304717393</v>
      </c>
    </row>
    <row r="178" spans="1:29" x14ac:dyDescent="0.25">
      <c r="A178" t="s">
        <v>5</v>
      </c>
      <c r="B178" s="24">
        <v>50</v>
      </c>
      <c r="C178" s="20">
        <v>80</v>
      </c>
      <c r="D178">
        <v>-1.6</v>
      </c>
      <c r="E178">
        <v>3</v>
      </c>
      <c r="F178" s="1">
        <v>1.1274573469428073</v>
      </c>
      <c r="G178" s="1">
        <v>-1.8787301037776298</v>
      </c>
      <c r="H178" s="1">
        <v>-2.1040866646912182</v>
      </c>
      <c r="J178" s="13">
        <v>60</v>
      </c>
      <c r="K178" s="31">
        <f t="shared" ref="K178:R178" si="59">K160+K169</f>
        <v>-3.1521907258283886</v>
      </c>
      <c r="L178" s="31">
        <f t="shared" si="59"/>
        <v>-3.2270688531949903</v>
      </c>
      <c r="M178" s="31">
        <f t="shared" si="59"/>
        <v>-3.3529525104719733</v>
      </c>
      <c r="N178" s="31">
        <f t="shared" si="59"/>
        <v>-3.5050294336327186</v>
      </c>
      <c r="O178" s="31">
        <f t="shared" si="59"/>
        <v>-3.6449517624955101</v>
      </c>
      <c r="P178" s="31">
        <f t="shared" si="59"/>
        <v>-3.7377579931942226</v>
      </c>
      <c r="Q178" s="31">
        <f t="shared" si="59"/>
        <v>-3.7669685254831116</v>
      </c>
      <c r="R178" s="15">
        <f t="shared" si="59"/>
        <v>-3.738800517463793</v>
      </c>
      <c r="U178" s="13">
        <v>60</v>
      </c>
      <c r="V178" s="31">
        <v>3.1521907258283886</v>
      </c>
      <c r="W178" s="31">
        <v>3.2270688531949903</v>
      </c>
      <c r="X178" s="31">
        <v>3.3529525104719733</v>
      </c>
      <c r="Y178" s="31">
        <v>3.5050294336327186</v>
      </c>
      <c r="Z178" s="31">
        <v>3.6449517624955101</v>
      </c>
      <c r="AA178" s="31">
        <v>3.7377579931942226</v>
      </c>
      <c r="AB178" s="31">
        <v>3.7669685254831116</v>
      </c>
      <c r="AC178" s="15">
        <v>3.738800517463793</v>
      </c>
    </row>
    <row r="179" spans="1:29" x14ac:dyDescent="0.25">
      <c r="A179" t="s">
        <v>5</v>
      </c>
      <c r="B179" s="24">
        <v>60</v>
      </c>
      <c r="C179" s="20">
        <v>80</v>
      </c>
      <c r="D179">
        <v>-1.6</v>
      </c>
      <c r="E179">
        <v>3</v>
      </c>
      <c r="F179" s="1">
        <v>1.1234774988528784</v>
      </c>
      <c r="G179" s="1">
        <v>-1.6138393108047011</v>
      </c>
      <c r="H179" s="1">
        <v>-2.1239186823895215</v>
      </c>
      <c r="J179" s="13">
        <v>70</v>
      </c>
      <c r="K179" s="31">
        <f t="shared" ref="K179:R179" si="60">K161+K170</f>
        <v>-2.860304946389344</v>
      </c>
      <c r="L179" s="31">
        <f t="shared" si="60"/>
        <v>-2.9089857012727784</v>
      </c>
      <c r="M179" s="31">
        <f t="shared" si="60"/>
        <v>-3.0263385183596636</v>
      </c>
      <c r="N179" s="31">
        <f t="shared" si="60"/>
        <v>-3.1872686417378313</v>
      </c>
      <c r="O179" s="31">
        <f t="shared" si="60"/>
        <v>-3.3486710632584615</v>
      </c>
      <c r="P179" s="31">
        <f t="shared" si="60"/>
        <v>-3.4678323328056866</v>
      </c>
      <c r="Q179" s="31">
        <f>Q161+Q170</f>
        <v>-3.520736054589177</v>
      </c>
      <c r="R179" s="15">
        <f t="shared" si="60"/>
        <v>-3.5096886361126405</v>
      </c>
      <c r="U179" s="13">
        <v>70</v>
      </c>
      <c r="V179" s="31">
        <v>2.860304946389344</v>
      </c>
      <c r="W179" s="31">
        <v>2.9089857012727784</v>
      </c>
      <c r="X179" s="31">
        <v>3.0263385183596636</v>
      </c>
      <c r="Y179" s="31">
        <v>3.1872686417378313</v>
      </c>
      <c r="Z179" s="31">
        <v>3.3486710632584615</v>
      </c>
      <c r="AA179" s="31">
        <v>3.4678323328056866</v>
      </c>
      <c r="AB179" s="31">
        <v>3.520736054589177</v>
      </c>
      <c r="AC179" s="15">
        <v>3.5096886361126405</v>
      </c>
    </row>
    <row r="180" spans="1:29" ht="15.75" thickBot="1" x14ac:dyDescent="0.3">
      <c r="A180" t="s">
        <v>5</v>
      </c>
      <c r="B180" s="24">
        <v>70</v>
      </c>
      <c r="C180" s="20">
        <v>80</v>
      </c>
      <c r="D180">
        <v>-1.6</v>
      </c>
      <c r="E180">
        <v>3</v>
      </c>
      <c r="F180" s="1">
        <v>1.1168480431751484</v>
      </c>
      <c r="G180" s="1">
        <v>-1.3484696991008056</v>
      </c>
      <c r="H180" s="1">
        <v>-2.1193626337048808</v>
      </c>
      <c r="J180" s="16">
        <v>80</v>
      </c>
      <c r="K180" s="17">
        <f t="shared" ref="K180:R180" si="61">K162+K171</f>
        <v>-2.6933748464901193</v>
      </c>
      <c r="L180" s="17">
        <f t="shared" si="61"/>
        <v>-2.7098878649866327</v>
      </c>
      <c r="M180" s="17">
        <f t="shared" si="61"/>
        <v>-2.7984361374916107</v>
      </c>
      <c r="N180" s="17">
        <f t="shared" si="61"/>
        <v>-2.9391274299338672</v>
      </c>
      <c r="O180" s="17">
        <f t="shared" si="61"/>
        <v>-3.0932678610387661</v>
      </c>
      <c r="P180" s="17">
        <f t="shared" si="61"/>
        <v>-3.2194877492950145</v>
      </c>
      <c r="Q180" s="17">
        <f t="shared" si="61"/>
        <v>-3.2912066907158999</v>
      </c>
      <c r="R180" s="18">
        <f t="shared" si="61"/>
        <v>-3.3056138248056657</v>
      </c>
      <c r="U180" s="16">
        <v>80</v>
      </c>
      <c r="V180" s="17">
        <v>2.6933748464901193</v>
      </c>
      <c r="W180" s="17">
        <v>2.7098878649866327</v>
      </c>
      <c r="X180" s="17">
        <v>2.7984361374916107</v>
      </c>
      <c r="Y180" s="17">
        <v>2.9391274299338672</v>
      </c>
      <c r="Z180" s="17">
        <v>3.0932678610387661</v>
      </c>
      <c r="AA180" s="17">
        <v>3.2194877492950145</v>
      </c>
      <c r="AB180" s="17">
        <v>3.2912066907158999</v>
      </c>
      <c r="AC180" s="18">
        <v>3.3056138248056657</v>
      </c>
    </row>
    <row r="181" spans="1:29" ht="15.75" thickBot="1" x14ac:dyDescent="0.3">
      <c r="A181" t="s">
        <v>5</v>
      </c>
      <c r="B181" s="24">
        <v>80</v>
      </c>
      <c r="C181" s="20">
        <v>80</v>
      </c>
      <c r="D181">
        <v>-1.6</v>
      </c>
      <c r="E181">
        <v>3</v>
      </c>
      <c r="F181" s="1">
        <v>1.1089570194969123</v>
      </c>
      <c r="G181" s="1">
        <v>-1.1082392609219156</v>
      </c>
      <c r="H181" s="1">
        <v>-2.1112484883730991</v>
      </c>
    </row>
    <row r="182" spans="1:29" x14ac:dyDescent="0.25">
      <c r="A182" t="s">
        <v>5</v>
      </c>
      <c r="B182" s="24">
        <v>30</v>
      </c>
      <c r="C182" s="20">
        <v>90</v>
      </c>
      <c r="D182">
        <v>-1.6</v>
      </c>
      <c r="E182">
        <v>3</v>
      </c>
      <c r="F182" s="1">
        <v>1.1390270298669762</v>
      </c>
      <c r="G182" s="1">
        <v>-2.340861687061297</v>
      </c>
      <c r="H182" s="1">
        <v>-1.9626989394856948</v>
      </c>
      <c r="J182" s="5" t="s">
        <v>30</v>
      </c>
      <c r="K182" s="6" t="s">
        <v>10</v>
      </c>
      <c r="L182" s="7"/>
      <c r="M182" s="8"/>
      <c r="N182" s="8"/>
      <c r="O182" s="8"/>
      <c r="P182" s="8"/>
      <c r="Q182" s="8"/>
      <c r="R182" s="9"/>
      <c r="U182" s="5" t="s">
        <v>30</v>
      </c>
      <c r="V182" s="6" t="s">
        <v>10</v>
      </c>
      <c r="W182" s="7"/>
      <c r="X182" s="8"/>
      <c r="Y182" s="8"/>
      <c r="Z182" s="8"/>
      <c r="AA182" s="8"/>
      <c r="AB182" s="8"/>
      <c r="AC182" s="9"/>
    </row>
    <row r="183" spans="1:29" x14ac:dyDescent="0.25">
      <c r="A183" t="s">
        <v>5</v>
      </c>
      <c r="B183" s="24">
        <v>40</v>
      </c>
      <c r="C183" s="20">
        <v>90</v>
      </c>
      <c r="D183">
        <v>-1.6</v>
      </c>
      <c r="E183">
        <v>3</v>
      </c>
      <c r="F183" s="1">
        <v>1.1419966137281008</v>
      </c>
      <c r="G183" s="1">
        <v>-2.1955669957075656</v>
      </c>
      <c r="H183" s="1">
        <v>-1.9826424823845779</v>
      </c>
      <c r="J183" s="10" t="s">
        <v>11</v>
      </c>
      <c r="K183" s="11">
        <v>30</v>
      </c>
      <c r="L183" s="11">
        <v>40</v>
      </c>
      <c r="M183" s="11">
        <v>50</v>
      </c>
      <c r="N183" s="11">
        <v>60</v>
      </c>
      <c r="O183" s="11">
        <v>70</v>
      </c>
      <c r="P183" s="11">
        <v>80</v>
      </c>
      <c r="Q183" s="11">
        <v>90</v>
      </c>
      <c r="R183" s="12">
        <v>100</v>
      </c>
      <c r="U183" s="10" t="s">
        <v>11</v>
      </c>
      <c r="V183" s="11">
        <v>30</v>
      </c>
      <c r="W183" s="11">
        <v>40</v>
      </c>
      <c r="X183" s="11">
        <v>50</v>
      </c>
      <c r="Y183" s="11">
        <v>60</v>
      </c>
      <c r="Z183" s="11">
        <v>70</v>
      </c>
      <c r="AA183" s="11">
        <v>80</v>
      </c>
      <c r="AB183" s="11">
        <v>90</v>
      </c>
      <c r="AC183" s="12">
        <v>100</v>
      </c>
    </row>
    <row r="184" spans="1:29" x14ac:dyDescent="0.25">
      <c r="A184" t="s">
        <v>5</v>
      </c>
      <c r="B184" s="24">
        <v>50</v>
      </c>
      <c r="C184" s="20">
        <v>90</v>
      </c>
      <c r="D184">
        <v>-1.6</v>
      </c>
      <c r="E184">
        <v>3</v>
      </c>
      <c r="F184" s="1">
        <v>1.1411423268838372</v>
      </c>
      <c r="G184" s="1">
        <v>-1.9713932098350104</v>
      </c>
      <c r="H184" s="1">
        <v>-2.0195178815121433</v>
      </c>
      <c r="J184" s="13">
        <v>30</v>
      </c>
      <c r="K184" s="31">
        <f>K157/(K157+K166)</f>
        <v>0.48034469948650699</v>
      </c>
      <c r="L184" s="31">
        <f t="shared" ref="L184:R184" si="62">L157/(L157+L166)</f>
        <v>0.4896943558068827</v>
      </c>
      <c r="M184" s="31">
        <f t="shared" si="62"/>
        <v>0.49869350562566178</v>
      </c>
      <c r="N184" s="31">
        <f t="shared" si="62"/>
        <v>0.50778474508645466</v>
      </c>
      <c r="O184" s="31">
        <f t="shared" si="62"/>
        <v>0.51802027120667637</v>
      </c>
      <c r="P184" s="31">
        <f t="shared" si="62"/>
        <v>0.53022421622166693</v>
      </c>
      <c r="Q184" s="31">
        <f t="shared" si="62"/>
        <v>0.54393603116020528</v>
      </c>
      <c r="R184" s="15">
        <f t="shared" si="62"/>
        <v>0.55688950765799161</v>
      </c>
      <c r="U184" s="13">
        <v>30</v>
      </c>
      <c r="V184" s="31">
        <v>0.48034469948650699</v>
      </c>
      <c r="W184" s="31">
        <v>0.4896943558068827</v>
      </c>
      <c r="X184" s="31">
        <v>0.49869350562566178</v>
      </c>
      <c r="Y184" s="31">
        <v>0.50778474508645466</v>
      </c>
      <c r="Z184" s="31">
        <v>0.51802027120667637</v>
      </c>
      <c r="AA184" s="31">
        <v>0.53022421622166693</v>
      </c>
      <c r="AB184" s="31">
        <v>0.54393603116020528</v>
      </c>
      <c r="AC184" s="15">
        <v>0.55688950765799161</v>
      </c>
    </row>
    <row r="185" spans="1:29" x14ac:dyDescent="0.25">
      <c r="A185" t="s">
        <v>5</v>
      </c>
      <c r="B185" s="24">
        <v>60</v>
      </c>
      <c r="C185" s="20">
        <v>90</v>
      </c>
      <c r="D185">
        <v>-1.6</v>
      </c>
      <c r="E185">
        <v>3</v>
      </c>
      <c r="F185" s="1">
        <v>1.1369204196090552</v>
      </c>
      <c r="G185" s="1">
        <v>-1.7206970143666602</v>
      </c>
      <c r="H185" s="1">
        <v>-2.0462715111164513</v>
      </c>
      <c r="J185" s="13">
        <v>40</v>
      </c>
      <c r="K185" s="31">
        <f t="shared" ref="K185:R185" si="63">K158/(K158+K167)</f>
        <v>0.44519410475908394</v>
      </c>
      <c r="L185" s="31">
        <f t="shared" si="63"/>
        <v>0.45486570025299239</v>
      </c>
      <c r="M185" s="31">
        <f t="shared" si="63"/>
        <v>0.46563577891656477</v>
      </c>
      <c r="N185" s="31">
        <f t="shared" si="63"/>
        <v>0.47736545253037954</v>
      </c>
      <c r="O185" s="31">
        <f t="shared" si="63"/>
        <v>0.49085520867133059</v>
      </c>
      <c r="P185" s="31">
        <f t="shared" si="63"/>
        <v>0.50700711747677429</v>
      </c>
      <c r="Q185" s="31">
        <f t="shared" si="63"/>
        <v>0.5254803540176034</v>
      </c>
      <c r="R185" s="15">
        <f t="shared" si="63"/>
        <v>0.54381932956262069</v>
      </c>
      <c r="U185" s="13">
        <v>40</v>
      </c>
      <c r="V185" s="31">
        <v>0.44519410475908394</v>
      </c>
      <c r="W185" s="31">
        <v>0.45486570025299239</v>
      </c>
      <c r="X185" s="31">
        <v>0.46563577891656477</v>
      </c>
      <c r="Y185" s="31">
        <v>0.47736545253037954</v>
      </c>
      <c r="Z185" s="31">
        <v>0.49085520867133059</v>
      </c>
      <c r="AA185" s="31">
        <v>0.50700711747677429</v>
      </c>
      <c r="AB185" s="31">
        <v>0.5254803540176034</v>
      </c>
      <c r="AC185" s="15">
        <v>0.54381932956262069</v>
      </c>
    </row>
    <row r="186" spans="1:29" x14ac:dyDescent="0.25">
      <c r="A186" t="s">
        <v>5</v>
      </c>
      <c r="B186" s="24">
        <v>70</v>
      </c>
      <c r="C186" s="20">
        <v>90</v>
      </c>
      <c r="D186">
        <v>-1.6</v>
      </c>
      <c r="E186">
        <v>3</v>
      </c>
      <c r="F186" s="1">
        <v>1.1298710141822899</v>
      </c>
      <c r="G186" s="1">
        <v>-1.4636453018438533</v>
      </c>
      <c r="H186" s="1">
        <v>-2.0570907527453239</v>
      </c>
      <c r="J186" s="13">
        <v>50</v>
      </c>
      <c r="K186" s="31">
        <f t="shared" ref="K186:R186" si="64">K159/(K159+K168)</f>
        <v>0.3946918095150691</v>
      </c>
      <c r="L186" s="31">
        <f t="shared" si="64"/>
        <v>0.40517910365076504</v>
      </c>
      <c r="M186" s="31">
        <f t="shared" si="64"/>
        <v>0.41903445013235163</v>
      </c>
      <c r="N186" s="31">
        <f t="shared" si="64"/>
        <v>0.43467238753243881</v>
      </c>
      <c r="O186" s="31">
        <f t="shared" si="64"/>
        <v>0.45196998541783434</v>
      </c>
      <c r="P186" s="31">
        <f t="shared" si="64"/>
        <v>0.47170889674141042</v>
      </c>
      <c r="Q186" s="31">
        <f t="shared" si="64"/>
        <v>0.49397071613779198</v>
      </c>
      <c r="R186" s="15">
        <f t="shared" si="64"/>
        <v>0.51674299370812482</v>
      </c>
      <c r="U186" s="13">
        <v>50</v>
      </c>
      <c r="V186" s="31">
        <v>0.3946918095150691</v>
      </c>
      <c r="W186" s="31">
        <v>0.40517910365076504</v>
      </c>
      <c r="X186" s="31">
        <v>0.41903445013235163</v>
      </c>
      <c r="Y186" s="31">
        <v>0.43467238753243881</v>
      </c>
      <c r="Z186" s="31">
        <v>0.45196998541783434</v>
      </c>
      <c r="AA186" s="31">
        <v>0.47170889674141042</v>
      </c>
      <c r="AB186" s="31">
        <v>0.49397071613779198</v>
      </c>
      <c r="AC186" s="15">
        <v>0.51674299370812482</v>
      </c>
    </row>
    <row r="187" spans="1:29" x14ac:dyDescent="0.25">
      <c r="A187" t="s">
        <v>5</v>
      </c>
      <c r="B187" s="24">
        <v>80</v>
      </c>
      <c r="C187" s="20">
        <v>90</v>
      </c>
      <c r="D187">
        <v>-1.6</v>
      </c>
      <c r="E187">
        <v>3</v>
      </c>
      <c r="F187" s="1">
        <v>1.1212428404372059</v>
      </c>
      <c r="G187" s="1">
        <v>-1.2234171808481635</v>
      </c>
      <c r="H187" s="1">
        <v>-2.0677895098677364</v>
      </c>
      <c r="J187" s="13">
        <v>60</v>
      </c>
      <c r="K187" s="31">
        <f t="shared" ref="K187:R187" si="65">K160/(K160+K169)</f>
        <v>0.3382690110785303</v>
      </c>
      <c r="L187" s="31">
        <f t="shared" si="65"/>
        <v>0.34931496345456248</v>
      </c>
      <c r="M187" s="31">
        <f t="shared" si="65"/>
        <v>0.36690401234738163</v>
      </c>
      <c r="N187" s="31">
        <f t="shared" si="65"/>
        <v>0.38729196163324958</v>
      </c>
      <c r="O187" s="31">
        <f t="shared" si="65"/>
        <v>0.40878926114833347</v>
      </c>
      <c r="P187" s="31">
        <f t="shared" si="65"/>
        <v>0.43176666700819288</v>
      </c>
      <c r="Q187" s="31">
        <f t="shared" si="65"/>
        <v>0.45678560962915976</v>
      </c>
      <c r="R187" s="15">
        <f t="shared" si="65"/>
        <v>0.48264049220089938</v>
      </c>
      <c r="U187" s="13">
        <v>60</v>
      </c>
      <c r="V187" s="31">
        <v>0.3382690110785303</v>
      </c>
      <c r="W187" s="31">
        <v>0.34931496345456248</v>
      </c>
      <c r="X187" s="31">
        <v>0.36690401234738163</v>
      </c>
      <c r="Y187" s="31">
        <v>0.38729196163324958</v>
      </c>
      <c r="Z187" s="31">
        <v>0.40878926114833347</v>
      </c>
      <c r="AA187" s="31">
        <v>0.43176666700819288</v>
      </c>
      <c r="AB187" s="31">
        <v>0.45678560962915976</v>
      </c>
      <c r="AC187" s="15">
        <v>0.48264049220089938</v>
      </c>
    </row>
    <row r="188" spans="1:29" x14ac:dyDescent="0.25">
      <c r="A188" t="s">
        <v>5</v>
      </c>
      <c r="B188" s="24">
        <v>30</v>
      </c>
      <c r="C188" s="20">
        <v>100</v>
      </c>
      <c r="D188">
        <v>-1.6</v>
      </c>
      <c r="E188">
        <v>3</v>
      </c>
      <c r="F188" s="1">
        <v>1.1453801303203621</v>
      </c>
      <c r="G188" s="1">
        <v>-2.3679781701865532</v>
      </c>
      <c r="H188" s="1">
        <v>-1.8841726382298709</v>
      </c>
      <c r="J188" s="13">
        <v>70</v>
      </c>
      <c r="K188" s="31">
        <f t="shared" ref="K188:R188" si="66">K161/(K161+K170)</f>
        <v>0.29148532159690588</v>
      </c>
      <c r="L188" s="31">
        <f t="shared" si="66"/>
        <v>0.29958187902486499</v>
      </c>
      <c r="M188" s="31">
        <f t="shared" si="66"/>
        <v>0.31748683422062618</v>
      </c>
      <c r="N188" s="31">
        <f t="shared" si="66"/>
        <v>0.33994638578029579</v>
      </c>
      <c r="O188" s="31">
        <f t="shared" si="66"/>
        <v>0.3638214823913889</v>
      </c>
      <c r="P188" s="31">
        <f t="shared" si="66"/>
        <v>0.38885089291782798</v>
      </c>
      <c r="Q188" s="31">
        <f t="shared" si="66"/>
        <v>0.41572139437605221</v>
      </c>
      <c r="R188" s="15">
        <f t="shared" si="66"/>
        <v>0.44377139001906102</v>
      </c>
      <c r="U188" s="13">
        <v>70</v>
      </c>
      <c r="V188" s="31">
        <v>0.29148532159690588</v>
      </c>
      <c r="W188" s="31">
        <v>0.29958187902486499</v>
      </c>
      <c r="X188" s="31">
        <v>0.31748683422062618</v>
      </c>
      <c r="Y188" s="31">
        <v>0.33994638578029579</v>
      </c>
      <c r="Z188" s="31">
        <v>0.3638214823913889</v>
      </c>
      <c r="AA188" s="31">
        <v>0.38885089291782798</v>
      </c>
      <c r="AB188" s="31">
        <v>0.41572139437605221</v>
      </c>
      <c r="AC188" s="15">
        <v>0.44377139001906102</v>
      </c>
    </row>
    <row r="189" spans="1:29" ht="15.75" thickBot="1" x14ac:dyDescent="0.3">
      <c r="A189" t="s">
        <v>5</v>
      </c>
      <c r="B189" s="24">
        <v>40</v>
      </c>
      <c r="C189" s="20">
        <v>100</v>
      </c>
      <c r="D189">
        <v>-1.6</v>
      </c>
      <c r="E189">
        <v>3</v>
      </c>
      <c r="F189" s="1">
        <v>1.1508712833902159</v>
      </c>
      <c r="G189" s="1">
        <v>-2.2512928184879897</v>
      </c>
      <c r="H189" s="1">
        <v>-1.8884879802170582</v>
      </c>
      <c r="J189" s="16">
        <v>80</v>
      </c>
      <c r="K189" s="17">
        <f t="shared" ref="K189:R189" si="67">K162/(K162+K171)</f>
        <v>0.27120615922085684</v>
      </c>
      <c r="L189" s="17">
        <f t="shared" si="67"/>
        <v>0.27057019701148216</v>
      </c>
      <c r="M189" s="17">
        <f t="shared" si="67"/>
        <v>0.28106267695084469</v>
      </c>
      <c r="N189" s="17">
        <f t="shared" si="67"/>
        <v>0.29853952742407436</v>
      </c>
      <c r="O189" s="17">
        <f t="shared" si="67"/>
        <v>0.31987295254351233</v>
      </c>
      <c r="P189" s="17">
        <f t="shared" si="67"/>
        <v>0.34422844477808362</v>
      </c>
      <c r="Q189" s="17">
        <f t="shared" si="67"/>
        <v>0.3717229866781922</v>
      </c>
      <c r="R189" s="18">
        <f t="shared" si="67"/>
        <v>0.40142996552584903</v>
      </c>
      <c r="U189" s="16">
        <v>80</v>
      </c>
      <c r="V189" s="17">
        <v>0.27120615922085684</v>
      </c>
      <c r="W189" s="17">
        <v>0.27057019701148216</v>
      </c>
      <c r="X189" s="17">
        <v>0.28106267695084469</v>
      </c>
      <c r="Y189" s="17">
        <v>0.29853952742407436</v>
      </c>
      <c r="Z189" s="17">
        <v>0.31987295254351233</v>
      </c>
      <c r="AA189" s="17">
        <v>0.34422844477808362</v>
      </c>
      <c r="AB189" s="17">
        <v>0.3717229866781922</v>
      </c>
      <c r="AC189" s="18">
        <v>0.40142996552584903</v>
      </c>
    </row>
    <row r="190" spans="1:29" x14ac:dyDescent="0.25">
      <c r="A190" t="s">
        <v>5</v>
      </c>
      <c r="B190" s="24">
        <v>50</v>
      </c>
      <c r="C190" s="20">
        <v>100</v>
      </c>
      <c r="D190">
        <v>-1.6</v>
      </c>
      <c r="E190">
        <v>3</v>
      </c>
      <c r="F190" s="1">
        <v>1.1508989758073374</v>
      </c>
      <c r="G190" s="1">
        <v>-2.0446161384417625</v>
      </c>
      <c r="H190" s="1">
        <v>-1.912120892029977</v>
      </c>
    </row>
    <row r="191" spans="1:29" x14ac:dyDescent="0.25">
      <c r="A191" t="s">
        <v>5</v>
      </c>
      <c r="B191" s="24">
        <v>60</v>
      </c>
      <c r="C191" s="20">
        <v>100</v>
      </c>
      <c r="D191">
        <v>-1.6</v>
      </c>
      <c r="E191">
        <v>3</v>
      </c>
      <c r="F191" s="1">
        <v>1.146202448193675</v>
      </c>
      <c r="G191" s="1">
        <v>-1.8044965219897025</v>
      </c>
      <c r="H191" s="1">
        <v>-1.9343039954740908</v>
      </c>
    </row>
    <row r="192" spans="1:29" x14ac:dyDescent="0.25">
      <c r="A192" t="s">
        <v>5</v>
      </c>
      <c r="B192" s="24">
        <v>70</v>
      </c>
      <c r="C192" s="20">
        <v>100</v>
      </c>
      <c r="D192">
        <v>-1.6</v>
      </c>
      <c r="E192">
        <v>3</v>
      </c>
      <c r="F192" s="1">
        <v>1.1381150243160021</v>
      </c>
      <c r="G192" s="1">
        <v>-1.5574994045818089</v>
      </c>
      <c r="H192" s="1">
        <v>-1.9521892315308313</v>
      </c>
    </row>
    <row r="193" spans="1:29" ht="15.75" thickBot="1" x14ac:dyDescent="0.3">
      <c r="A193" t="s">
        <v>5</v>
      </c>
      <c r="B193" s="24">
        <v>80</v>
      </c>
      <c r="C193" s="20">
        <v>100</v>
      </c>
      <c r="D193">
        <v>-1.6</v>
      </c>
      <c r="E193">
        <v>3</v>
      </c>
      <c r="F193" s="1">
        <v>1.1282469876804091</v>
      </c>
      <c r="G193" s="1">
        <v>-1.3269724437335084</v>
      </c>
      <c r="H193" s="1">
        <v>-1.9786413810721575</v>
      </c>
      <c r="J193" s="29" t="s">
        <v>17</v>
      </c>
      <c r="K193" s="19" t="s">
        <v>18</v>
      </c>
      <c r="U193" s="29" t="s">
        <v>17</v>
      </c>
      <c r="V193" s="19" t="s">
        <v>18</v>
      </c>
    </row>
    <row r="194" spans="1:29" x14ac:dyDescent="0.25">
      <c r="A194" s="3" t="s">
        <v>5</v>
      </c>
      <c r="B194" s="24">
        <v>30</v>
      </c>
      <c r="C194" s="20">
        <v>30</v>
      </c>
      <c r="D194" s="3">
        <v>-1.6</v>
      </c>
      <c r="E194" s="3">
        <v>6</v>
      </c>
      <c r="F194" s="4">
        <v>1.0505218345656362</v>
      </c>
      <c r="G194" s="4">
        <v>-1.9078226100762561</v>
      </c>
      <c r="H194" s="4">
        <v>-2.1719784291561117</v>
      </c>
      <c r="J194" s="5" t="s">
        <v>9</v>
      </c>
      <c r="K194" s="6" t="s">
        <v>10</v>
      </c>
      <c r="L194" s="7"/>
      <c r="M194" s="8"/>
      <c r="N194" s="8"/>
      <c r="O194" s="8"/>
      <c r="P194" s="8"/>
      <c r="Q194" s="8"/>
      <c r="R194" s="9"/>
      <c r="U194" s="5" t="s">
        <v>9</v>
      </c>
      <c r="V194" s="6" t="s">
        <v>10</v>
      </c>
      <c r="W194" s="7"/>
      <c r="X194" s="8"/>
      <c r="Y194" s="8"/>
      <c r="Z194" s="8"/>
      <c r="AA194" s="8"/>
      <c r="AB194" s="8"/>
      <c r="AC194" s="9"/>
    </row>
    <row r="195" spans="1:29" x14ac:dyDescent="0.25">
      <c r="A195" s="3" t="s">
        <v>5</v>
      </c>
      <c r="B195" s="24">
        <v>40</v>
      </c>
      <c r="C195" s="20">
        <v>30</v>
      </c>
      <c r="D195" s="3">
        <v>-1.6</v>
      </c>
      <c r="E195" s="3">
        <v>6</v>
      </c>
      <c r="F195" s="4">
        <v>1.0449654378463689</v>
      </c>
      <c r="G195" s="4">
        <v>-1.6535158828910088</v>
      </c>
      <c r="H195" s="4">
        <v>-2.1763211751033418</v>
      </c>
      <c r="J195" s="10" t="s">
        <v>11</v>
      </c>
      <c r="K195" s="11">
        <v>30</v>
      </c>
      <c r="L195" s="11">
        <v>40</v>
      </c>
      <c r="M195" s="11">
        <v>50</v>
      </c>
      <c r="N195" s="11">
        <v>60</v>
      </c>
      <c r="O195" s="11">
        <v>70</v>
      </c>
      <c r="P195" s="11">
        <v>80</v>
      </c>
      <c r="Q195" s="11">
        <v>90</v>
      </c>
      <c r="R195" s="12">
        <v>100</v>
      </c>
      <c r="U195" s="10" t="s">
        <v>11</v>
      </c>
      <c r="V195" s="11">
        <v>30</v>
      </c>
      <c r="W195" s="11">
        <v>40</v>
      </c>
      <c r="X195" s="11">
        <v>50</v>
      </c>
      <c r="Y195" s="11">
        <v>60</v>
      </c>
      <c r="Z195" s="11">
        <v>70</v>
      </c>
      <c r="AA195" s="11">
        <v>80</v>
      </c>
      <c r="AB195" s="11">
        <v>90</v>
      </c>
      <c r="AC195" s="12">
        <v>100</v>
      </c>
    </row>
    <row r="196" spans="1:29" x14ac:dyDescent="0.25">
      <c r="A196" s="3" t="s">
        <v>5</v>
      </c>
      <c r="B196" s="24">
        <v>50</v>
      </c>
      <c r="C196" s="20">
        <v>30</v>
      </c>
      <c r="D196" s="3">
        <v>-1.6</v>
      </c>
      <c r="E196" s="3">
        <v>6</v>
      </c>
      <c r="F196" s="4">
        <v>1.0391293088216038</v>
      </c>
      <c r="G196" s="4">
        <v>-1.3364754457579973</v>
      </c>
      <c r="H196" s="4">
        <v>-2.1421018691971252</v>
      </c>
      <c r="J196" s="13">
        <v>30</v>
      </c>
      <c r="K196" s="14">
        <f>F194</f>
        <v>1.0505218345656362</v>
      </c>
      <c r="L196" s="14">
        <f>F200</f>
        <v>1.062613583880196</v>
      </c>
      <c r="M196" s="14">
        <f>F206</f>
        <v>1.076535486135312</v>
      </c>
      <c r="N196" s="14">
        <f>F212</f>
        <v>1.0908410142734846</v>
      </c>
      <c r="O196" s="14">
        <f>F218</f>
        <v>1.1043644907385988</v>
      </c>
      <c r="P196" s="14">
        <f>F224</f>
        <v>1.1164312337525191</v>
      </c>
      <c r="Q196" s="14">
        <f>F230</f>
        <v>1.1266027115288868</v>
      </c>
      <c r="R196" s="15">
        <f>F236</f>
        <v>1.1341959036208045</v>
      </c>
      <c r="U196" s="13">
        <v>30</v>
      </c>
      <c r="V196" s="14">
        <v>1.0505218345656362</v>
      </c>
      <c r="W196" s="14">
        <v>1.062613583880196</v>
      </c>
      <c r="X196" s="14">
        <v>1.076535486135312</v>
      </c>
      <c r="Y196" s="14">
        <v>1.0908410142734846</v>
      </c>
      <c r="Z196" s="14">
        <v>1.1043644907385988</v>
      </c>
      <c r="AA196" s="14">
        <v>1.1164312337525191</v>
      </c>
      <c r="AB196" s="14">
        <v>1.1266027115288868</v>
      </c>
      <c r="AC196" s="15">
        <v>1.1341959036208045</v>
      </c>
    </row>
    <row r="197" spans="1:29" x14ac:dyDescent="0.25">
      <c r="A197" s="3" t="s">
        <v>5</v>
      </c>
      <c r="B197" s="24">
        <v>60</v>
      </c>
      <c r="C197" s="20">
        <v>30</v>
      </c>
      <c r="D197" s="3">
        <v>-1.6</v>
      </c>
      <c r="E197" s="3">
        <v>6</v>
      </c>
      <c r="F197" s="4">
        <v>1.0328622524679878</v>
      </c>
      <c r="G197" s="4">
        <v>-1.0400778021775252</v>
      </c>
      <c r="H197" s="4">
        <v>-2.0672711135473119</v>
      </c>
      <c r="J197" s="13">
        <v>40</v>
      </c>
      <c r="K197" s="14">
        <f>F195</f>
        <v>1.0449654378463689</v>
      </c>
      <c r="L197" s="14">
        <f>F201</f>
        <v>1.0584715765495998</v>
      </c>
      <c r="M197" s="14">
        <f>F207</f>
        <v>1.0735017419699764</v>
      </c>
      <c r="N197" s="14">
        <f t="shared" ref="N197:N200" si="68">F213</f>
        <v>1.088685746666548</v>
      </c>
      <c r="O197" s="14">
        <f>F219</f>
        <v>1.1032683537818759</v>
      </c>
      <c r="P197" s="14">
        <f>F225</f>
        <v>1.1170419530676932</v>
      </c>
      <c r="Q197" s="14">
        <f>F231</f>
        <v>1.1297477854667859</v>
      </c>
      <c r="R197" s="15">
        <f>F237</f>
        <v>1.1404102061617929</v>
      </c>
      <c r="U197" s="13">
        <v>40</v>
      </c>
      <c r="V197" s="14">
        <v>1.0449654378463689</v>
      </c>
      <c r="W197" s="14">
        <v>1.0584715765495998</v>
      </c>
      <c r="X197" s="14">
        <v>1.0735017419699764</v>
      </c>
      <c r="Y197" s="14">
        <v>1.088685746666548</v>
      </c>
      <c r="Z197" s="14">
        <v>1.1032683537818759</v>
      </c>
      <c r="AA197" s="14">
        <v>1.1170419530676932</v>
      </c>
      <c r="AB197" s="14">
        <v>1.1297477854667859</v>
      </c>
      <c r="AC197" s="15">
        <v>1.1404102061617929</v>
      </c>
    </row>
    <row r="198" spans="1:29" x14ac:dyDescent="0.25">
      <c r="A198" s="3" t="s">
        <v>5</v>
      </c>
      <c r="B198" s="24">
        <v>70</v>
      </c>
      <c r="C198" s="20">
        <v>30</v>
      </c>
      <c r="D198" s="3">
        <v>-1.6</v>
      </c>
      <c r="E198" s="3">
        <v>6</v>
      </c>
      <c r="F198" s="4">
        <v>1.0274303088641554</v>
      </c>
      <c r="G198" s="4">
        <v>-0.8343593900271864</v>
      </c>
      <c r="H198" s="4">
        <v>-1.972174407333013</v>
      </c>
      <c r="J198" s="13">
        <v>50</v>
      </c>
      <c r="K198" s="14">
        <f>F196</f>
        <v>1.0391293088216038</v>
      </c>
      <c r="L198" s="14">
        <f>F202</f>
        <v>1.0531904425273748</v>
      </c>
      <c r="M198" s="14">
        <f>F208</f>
        <v>1.0686254405756161</v>
      </c>
      <c r="N198" s="14">
        <f t="shared" si="68"/>
        <v>1.0840778518560112</v>
      </c>
      <c r="O198" s="14">
        <f>F220</f>
        <v>1.0989570051039785</v>
      </c>
      <c r="P198" s="14">
        <f>F226</f>
        <v>1.1132308713748653</v>
      </c>
      <c r="Q198" s="14">
        <f>F232</f>
        <v>1.1266974169677468</v>
      </c>
      <c r="R198" s="15">
        <f>F238</f>
        <v>1.1382876134324822</v>
      </c>
      <c r="U198" s="13">
        <v>50</v>
      </c>
      <c r="V198" s="14">
        <v>1.0391293088216038</v>
      </c>
      <c r="W198" s="14">
        <v>1.0531904425273748</v>
      </c>
      <c r="X198" s="14">
        <v>1.0686254405756161</v>
      </c>
      <c r="Y198" s="14">
        <v>1.0840778518560112</v>
      </c>
      <c r="Z198" s="14">
        <v>1.0989570051039785</v>
      </c>
      <c r="AA198" s="14">
        <v>1.1132308713748653</v>
      </c>
      <c r="AB198" s="14">
        <v>1.1266974169677468</v>
      </c>
      <c r="AC198" s="15">
        <v>1.1382876134324822</v>
      </c>
    </row>
    <row r="199" spans="1:29" x14ac:dyDescent="0.25">
      <c r="A199" s="3" t="s">
        <v>5</v>
      </c>
      <c r="B199" s="24">
        <v>80</v>
      </c>
      <c r="C199" s="20">
        <v>30</v>
      </c>
      <c r="D199" s="3">
        <v>-1.6</v>
      </c>
      <c r="E199" s="3">
        <v>6</v>
      </c>
      <c r="F199" s="4">
        <v>1.0257803947970998</v>
      </c>
      <c r="G199" s="4">
        <v>-0.7536854991287818</v>
      </c>
      <c r="H199" s="4">
        <v>-1.8921499355565616</v>
      </c>
      <c r="J199" s="13">
        <v>60</v>
      </c>
      <c r="K199" s="14">
        <f>F197</f>
        <v>1.0328622524679878</v>
      </c>
      <c r="L199" s="14">
        <f>F203</f>
        <v>1.0461845567409074</v>
      </c>
      <c r="M199" s="14">
        <f>F209</f>
        <v>1.061196601213227</v>
      </c>
      <c r="N199" s="14">
        <f t="shared" si="68"/>
        <v>1.0764849008826225</v>
      </c>
      <c r="O199" s="14">
        <f>F221</f>
        <v>1.0912515554411517</v>
      </c>
      <c r="P199" s="14">
        <f>F227</f>
        <v>1.105187560483295</v>
      </c>
      <c r="Q199" s="14">
        <f>F233</f>
        <v>1.117912242952122</v>
      </c>
      <c r="R199" s="15">
        <f>F239</f>
        <v>1.1284317135942121</v>
      </c>
      <c r="U199" s="13">
        <v>60</v>
      </c>
      <c r="V199" s="14">
        <v>1.0328622524679878</v>
      </c>
      <c r="W199" s="14">
        <v>1.0461845567409074</v>
      </c>
      <c r="X199" s="14">
        <v>1.061196601213227</v>
      </c>
      <c r="Y199" s="14">
        <v>1.0764849008826225</v>
      </c>
      <c r="Z199" s="14">
        <v>1.0912515554411517</v>
      </c>
      <c r="AA199" s="14">
        <v>1.105187560483295</v>
      </c>
      <c r="AB199" s="14">
        <v>1.117912242952122</v>
      </c>
      <c r="AC199" s="15">
        <v>1.1284317135942121</v>
      </c>
    </row>
    <row r="200" spans="1:29" x14ac:dyDescent="0.25">
      <c r="A200" s="3" t="s">
        <v>5</v>
      </c>
      <c r="B200" s="24">
        <v>30</v>
      </c>
      <c r="C200" s="20">
        <v>40</v>
      </c>
      <c r="D200" s="3">
        <v>-1.6</v>
      </c>
      <c r="E200" s="3">
        <v>6</v>
      </c>
      <c r="F200" s="4">
        <v>1.062613583880196</v>
      </c>
      <c r="G200" s="4">
        <v>-2.0342736359786864</v>
      </c>
      <c r="H200" s="4">
        <v>-2.1979743736360389</v>
      </c>
      <c r="J200" s="13">
        <v>70</v>
      </c>
      <c r="K200" s="14">
        <f>F198</f>
        <v>1.0274303088641554</v>
      </c>
      <c r="L200" s="14">
        <f>F204</f>
        <v>1.0389559725402364</v>
      </c>
      <c r="M200" s="14">
        <f>F210</f>
        <v>1.0528896734550173</v>
      </c>
      <c r="N200" s="14">
        <f t="shared" si="68"/>
        <v>1.0677614589588591</v>
      </c>
      <c r="O200" s="14">
        <f>F222</f>
        <v>1.0823268543829525</v>
      </c>
      <c r="P200" s="14">
        <f>F228</f>
        <v>1.0956740013375958</v>
      </c>
      <c r="Q200" s="14">
        <f>F234</f>
        <v>1.1070346678233336</v>
      </c>
      <c r="R200" s="15">
        <f>F240</f>
        <v>1.1155243815528701</v>
      </c>
      <c r="U200" s="13">
        <v>70</v>
      </c>
      <c r="V200" s="14">
        <v>1.0274303088641554</v>
      </c>
      <c r="W200" s="14">
        <v>1.0389559725402364</v>
      </c>
      <c r="X200" s="14">
        <v>1.0528896734550173</v>
      </c>
      <c r="Y200" s="14">
        <v>1.0677614589588591</v>
      </c>
      <c r="Z200" s="14">
        <v>1.0823268543829525</v>
      </c>
      <c r="AA200" s="14">
        <v>1.0956740013375958</v>
      </c>
      <c r="AB200" s="14">
        <v>1.1070346678233336</v>
      </c>
      <c r="AC200" s="15">
        <v>1.1155243815528701</v>
      </c>
    </row>
    <row r="201" spans="1:29" ht="15.75" thickBot="1" x14ac:dyDescent="0.3">
      <c r="A201" s="3" t="s">
        <v>5</v>
      </c>
      <c r="B201" s="24">
        <v>40</v>
      </c>
      <c r="C201" s="20">
        <v>40</v>
      </c>
      <c r="D201" s="3">
        <v>-1.6</v>
      </c>
      <c r="E201" s="3">
        <v>6</v>
      </c>
      <c r="F201" s="4">
        <v>1.0584715765495998</v>
      </c>
      <c r="G201" s="4">
        <v>-1.7615833819106961</v>
      </c>
      <c r="H201" s="4">
        <v>-2.198884665258078</v>
      </c>
      <c r="J201" s="16">
        <v>80</v>
      </c>
      <c r="K201" s="17">
        <f>F199</f>
        <v>1.0257803947970998</v>
      </c>
      <c r="L201" s="17">
        <f>F205</f>
        <v>1.0352673295714929</v>
      </c>
      <c r="M201" s="17">
        <f>F211</f>
        <v>1.0478277668247971</v>
      </c>
      <c r="N201" s="17">
        <f>F217</f>
        <v>1.0620099026110947</v>
      </c>
      <c r="O201" s="17">
        <f>F223</f>
        <v>1.0761608070235658</v>
      </c>
      <c r="P201" s="17">
        <f>F229</f>
        <v>1.0887683306518072</v>
      </c>
      <c r="Q201" s="17">
        <f>F235</f>
        <v>1.0986507966822143</v>
      </c>
      <c r="R201" s="18">
        <f>F241</f>
        <v>1.1049875916753289</v>
      </c>
      <c r="U201" s="16">
        <v>80</v>
      </c>
      <c r="V201" s="17">
        <v>1.0257803947970998</v>
      </c>
      <c r="W201" s="17">
        <v>1.0352673295714929</v>
      </c>
      <c r="X201" s="17">
        <v>1.0478277668247971</v>
      </c>
      <c r="Y201" s="17">
        <v>1.0620099026110947</v>
      </c>
      <c r="Z201" s="17">
        <v>1.0761608070235658</v>
      </c>
      <c r="AA201" s="17">
        <v>1.0887683306518072</v>
      </c>
      <c r="AB201" s="17">
        <v>1.0986507966822143</v>
      </c>
      <c r="AC201" s="18">
        <v>1.1049875916753289</v>
      </c>
    </row>
    <row r="202" spans="1:29" ht="15.75" thickBot="1" x14ac:dyDescent="0.3">
      <c r="A202" s="3" t="s">
        <v>5</v>
      </c>
      <c r="B202" s="24">
        <v>50</v>
      </c>
      <c r="C202" s="20">
        <v>40</v>
      </c>
      <c r="D202" s="3">
        <v>-1.6</v>
      </c>
      <c r="E202" s="3">
        <v>6</v>
      </c>
      <c r="F202" s="4">
        <v>1.0531904425273748</v>
      </c>
      <c r="G202" s="4">
        <v>-1.4236221335375592</v>
      </c>
      <c r="H202" s="4">
        <v>-2.1581450550109138</v>
      </c>
    </row>
    <row r="203" spans="1:29" x14ac:dyDescent="0.25">
      <c r="A203" s="3" t="s">
        <v>5</v>
      </c>
      <c r="B203" s="24">
        <v>60</v>
      </c>
      <c r="C203" s="20">
        <v>40</v>
      </c>
      <c r="D203" s="3">
        <v>-1.6</v>
      </c>
      <c r="E203" s="3">
        <v>6</v>
      </c>
      <c r="F203" s="4">
        <v>1.0461845567409074</v>
      </c>
      <c r="G203" s="4">
        <v>-1.1052763515198463</v>
      </c>
      <c r="H203" s="4">
        <v>-2.0731568704401351</v>
      </c>
      <c r="J203" s="5" t="s">
        <v>12</v>
      </c>
      <c r="K203" s="6" t="s">
        <v>10</v>
      </c>
      <c r="L203" s="7"/>
      <c r="M203" s="8"/>
      <c r="N203" s="8"/>
      <c r="O203" s="8"/>
      <c r="P203" s="8"/>
      <c r="Q203" s="8"/>
      <c r="R203" s="9"/>
      <c r="U203" s="5" t="s">
        <v>12</v>
      </c>
      <c r="V203" s="6" t="s">
        <v>10</v>
      </c>
      <c r="W203" s="7"/>
      <c r="X203" s="8"/>
      <c r="Y203" s="8"/>
      <c r="Z203" s="8"/>
      <c r="AA203" s="8"/>
      <c r="AB203" s="8"/>
      <c r="AC203" s="9"/>
    </row>
    <row r="204" spans="1:29" x14ac:dyDescent="0.25">
      <c r="A204" s="3" t="s">
        <v>5</v>
      </c>
      <c r="B204" s="24">
        <v>70</v>
      </c>
      <c r="C204" s="20">
        <v>40</v>
      </c>
      <c r="D204" s="3">
        <v>-1.6</v>
      </c>
      <c r="E204" s="3">
        <v>6</v>
      </c>
      <c r="F204" s="4">
        <v>1.0389559725402364</v>
      </c>
      <c r="G204" s="4">
        <v>-0.86998224061280705</v>
      </c>
      <c r="H204" s="4">
        <v>-1.9691897528605697</v>
      </c>
      <c r="J204" s="10" t="s">
        <v>11</v>
      </c>
      <c r="K204" s="11">
        <v>30</v>
      </c>
      <c r="L204" s="11">
        <v>40</v>
      </c>
      <c r="M204" s="11">
        <v>50</v>
      </c>
      <c r="N204" s="11">
        <v>60</v>
      </c>
      <c r="O204" s="11">
        <v>70</v>
      </c>
      <c r="P204" s="11">
        <v>80</v>
      </c>
      <c r="Q204" s="11">
        <v>90</v>
      </c>
      <c r="R204" s="12">
        <v>100</v>
      </c>
      <c r="U204" s="10" t="s">
        <v>11</v>
      </c>
      <c r="V204" s="11">
        <v>30</v>
      </c>
      <c r="W204" s="11">
        <v>40</v>
      </c>
      <c r="X204" s="11">
        <v>50</v>
      </c>
      <c r="Y204" s="11">
        <v>60</v>
      </c>
      <c r="Z204" s="11">
        <v>70</v>
      </c>
      <c r="AA204" s="11">
        <v>80</v>
      </c>
      <c r="AB204" s="11">
        <v>90</v>
      </c>
      <c r="AC204" s="12">
        <v>100</v>
      </c>
    </row>
    <row r="205" spans="1:29" x14ac:dyDescent="0.25">
      <c r="A205" s="3" t="s">
        <v>5</v>
      </c>
      <c r="B205" s="24">
        <v>80</v>
      </c>
      <c r="C205" s="20">
        <v>40</v>
      </c>
      <c r="D205" s="3">
        <v>-1.6</v>
      </c>
      <c r="E205" s="3">
        <v>6</v>
      </c>
      <c r="F205" s="4">
        <v>1.0352673295714929</v>
      </c>
      <c r="G205" s="4">
        <v>-0.75033382509975932</v>
      </c>
      <c r="H205" s="4">
        <v>-1.8882933794864876</v>
      </c>
      <c r="J205" s="13">
        <v>30</v>
      </c>
      <c r="K205" s="14">
        <f>G194</f>
        <v>-1.9078226100762561</v>
      </c>
      <c r="L205" s="14">
        <f>G200</f>
        <v>-2.0342736359786864</v>
      </c>
      <c r="M205" s="14">
        <f>G206</f>
        <v>-2.1455640993216565</v>
      </c>
      <c r="N205" s="14">
        <f>G212</f>
        <v>-2.2288130872781369</v>
      </c>
      <c r="O205" s="14">
        <f>G218</f>
        <v>-2.2807044082368573</v>
      </c>
      <c r="P205" s="14">
        <f>G224</f>
        <v>-2.3072065599899543</v>
      </c>
      <c r="Q205" s="14">
        <f>G230</f>
        <v>-2.3169705161751715</v>
      </c>
      <c r="R205" s="15">
        <f>G236</f>
        <v>-2.3130960411525363</v>
      </c>
      <c r="U205" s="13">
        <v>30</v>
      </c>
      <c r="V205" s="14">
        <v>1.9078226100762561</v>
      </c>
      <c r="W205" s="14">
        <v>2.0342736359786864</v>
      </c>
      <c r="X205" s="14">
        <v>2.1455640993216565</v>
      </c>
      <c r="Y205" s="14">
        <v>2.2288130872781369</v>
      </c>
      <c r="Z205" s="14">
        <v>2.2807044082368573</v>
      </c>
      <c r="AA205" s="14">
        <v>2.3072065599899543</v>
      </c>
      <c r="AB205" s="14">
        <v>2.3169705161751715</v>
      </c>
      <c r="AC205" s="15">
        <v>2.3130960411525363</v>
      </c>
    </row>
    <row r="206" spans="1:29" x14ac:dyDescent="0.25">
      <c r="A206" s="3" t="s">
        <v>5</v>
      </c>
      <c r="B206" s="24">
        <v>30</v>
      </c>
      <c r="C206" s="20">
        <v>50</v>
      </c>
      <c r="D206" s="3">
        <v>-1.6</v>
      </c>
      <c r="E206" s="3">
        <v>6</v>
      </c>
      <c r="F206" s="4">
        <v>1.076535486135312</v>
      </c>
      <c r="G206" s="4">
        <v>-2.1455640993216565</v>
      </c>
      <c r="H206" s="4">
        <v>-2.1974586240942697</v>
      </c>
      <c r="J206" s="13">
        <v>40</v>
      </c>
      <c r="K206" s="14">
        <f t="shared" ref="K206:K210" si="69">G195</f>
        <v>-1.6535158828910088</v>
      </c>
      <c r="L206" s="14">
        <f t="shared" ref="L206:L210" si="70">G201</f>
        <v>-1.7615833819106961</v>
      </c>
      <c r="M206" s="14">
        <f>G207</f>
        <v>-1.8716532681687779</v>
      </c>
      <c r="N206" s="14">
        <f>G213</f>
        <v>-1.9690247296161298</v>
      </c>
      <c r="O206" s="14">
        <f t="shared" ref="O206:O210" si="71">G219</f>
        <v>-2.046361173761706</v>
      </c>
      <c r="P206" s="14">
        <f t="shared" ref="P206:P210" si="72">G225</f>
        <v>-2.1053644389455477</v>
      </c>
      <c r="Q206" s="14">
        <f>G231</f>
        <v>-2.1513024705581731</v>
      </c>
      <c r="R206" s="15">
        <f>G237</f>
        <v>-2.1846848391760187</v>
      </c>
      <c r="U206" s="13">
        <v>40</v>
      </c>
      <c r="V206" s="14">
        <v>1.6535158828910088</v>
      </c>
      <c r="W206" s="14">
        <v>1.7615833819106961</v>
      </c>
      <c r="X206" s="14">
        <v>1.8716532681687779</v>
      </c>
      <c r="Y206" s="14">
        <v>1.9690247296161298</v>
      </c>
      <c r="Z206" s="14">
        <v>2.046361173761706</v>
      </c>
      <c r="AA206" s="14">
        <v>2.1053644389455477</v>
      </c>
      <c r="AB206" s="14">
        <v>2.1513024705581731</v>
      </c>
      <c r="AC206" s="15">
        <v>2.1846848391760187</v>
      </c>
    </row>
    <row r="207" spans="1:29" x14ac:dyDescent="0.25">
      <c r="A207" s="3" t="s">
        <v>5</v>
      </c>
      <c r="B207" s="24">
        <v>40</v>
      </c>
      <c r="C207" s="20">
        <v>50</v>
      </c>
      <c r="D207" s="3">
        <v>-1.6</v>
      </c>
      <c r="E207" s="3">
        <v>6</v>
      </c>
      <c r="F207" s="4">
        <v>1.0735017419699764</v>
      </c>
      <c r="G207" s="4">
        <v>-1.8716532681687779</v>
      </c>
      <c r="H207" s="4">
        <v>-2.1989765514153463</v>
      </c>
      <c r="J207" s="13">
        <v>50</v>
      </c>
      <c r="K207" s="14">
        <f t="shared" si="69"/>
        <v>-1.3364754457579973</v>
      </c>
      <c r="L207" s="14">
        <f t="shared" si="70"/>
        <v>-1.4236221335375592</v>
      </c>
      <c r="M207" s="14">
        <f>G208</f>
        <v>-1.5334253760312451</v>
      </c>
      <c r="N207" s="14">
        <f>G214</f>
        <v>-1.6477297275125797</v>
      </c>
      <c r="O207" s="14">
        <f t="shared" si="71"/>
        <v>-1.7525344886442737</v>
      </c>
      <c r="P207" s="14">
        <f t="shared" si="72"/>
        <v>-1.8426949585487407</v>
      </c>
      <c r="Q207" s="14">
        <f>G232</f>
        <v>-1.9189691334093975</v>
      </c>
      <c r="R207" s="15">
        <f>G238</f>
        <v>-1.9805208749038288</v>
      </c>
      <c r="U207" s="13">
        <v>50</v>
      </c>
      <c r="V207" s="14">
        <v>1.3364754457579973</v>
      </c>
      <c r="W207" s="14">
        <v>1.4236221335375592</v>
      </c>
      <c r="X207" s="14">
        <v>1.5334253760312451</v>
      </c>
      <c r="Y207" s="14">
        <v>1.6477297275125797</v>
      </c>
      <c r="Z207" s="14">
        <v>1.7525344886442737</v>
      </c>
      <c r="AA207" s="14">
        <v>1.8426949585487407</v>
      </c>
      <c r="AB207" s="14">
        <v>1.9189691334093975</v>
      </c>
      <c r="AC207" s="15">
        <v>1.9805208749038288</v>
      </c>
    </row>
    <row r="208" spans="1:29" x14ac:dyDescent="0.25">
      <c r="A208" s="3" t="s">
        <v>5</v>
      </c>
      <c r="B208" s="24">
        <v>50</v>
      </c>
      <c r="C208" s="20">
        <v>50</v>
      </c>
      <c r="D208" s="3">
        <v>-1.6</v>
      </c>
      <c r="E208" s="3">
        <v>6</v>
      </c>
      <c r="F208" s="4">
        <v>1.0686254405756161</v>
      </c>
      <c r="G208" s="4">
        <v>-1.5334253760312451</v>
      </c>
      <c r="H208" s="4">
        <v>-2.1618291809204915</v>
      </c>
      <c r="J208" s="13">
        <v>60</v>
      </c>
      <c r="K208" s="14">
        <f t="shared" si="69"/>
        <v>-1.0400778021775252</v>
      </c>
      <c r="L208" s="14">
        <f>G203</f>
        <v>-1.1052763515198463</v>
      </c>
      <c r="M208" s="14">
        <f>G209</f>
        <v>-1.210903730082344</v>
      </c>
      <c r="N208" s="14">
        <f>G215</f>
        <v>-1.3362104282684457</v>
      </c>
      <c r="O208" s="14">
        <f t="shared" si="71"/>
        <v>-1.4614377198128745</v>
      </c>
      <c r="P208" s="14">
        <f t="shared" si="72"/>
        <v>-1.5749753484537985</v>
      </c>
      <c r="Q208" s="14">
        <f>G233</f>
        <v>-1.6730107783096437</v>
      </c>
      <c r="R208" s="15">
        <f>G239</f>
        <v>-1.7535300022054581</v>
      </c>
      <c r="U208" s="13">
        <v>60</v>
      </c>
      <c r="V208" s="14">
        <v>1.0400778021775252</v>
      </c>
      <c r="W208" s="14">
        <v>1.1052763515198463</v>
      </c>
      <c r="X208" s="14">
        <v>1.210903730082344</v>
      </c>
      <c r="Y208" s="14">
        <v>1.3362104282684457</v>
      </c>
      <c r="Z208" s="14">
        <v>1.4614377198128745</v>
      </c>
      <c r="AA208" s="14">
        <v>1.5749753484537985</v>
      </c>
      <c r="AB208" s="14">
        <v>1.6730107783096437</v>
      </c>
      <c r="AC208" s="15">
        <v>1.7535300022054581</v>
      </c>
    </row>
    <row r="209" spans="1:29" x14ac:dyDescent="0.25">
      <c r="A209" s="3" t="s">
        <v>5</v>
      </c>
      <c r="B209" s="24">
        <v>60</v>
      </c>
      <c r="C209" s="20">
        <v>50</v>
      </c>
      <c r="D209" s="3">
        <v>-1.6</v>
      </c>
      <c r="E209" s="3">
        <v>6</v>
      </c>
      <c r="F209" s="4">
        <v>1.061196601213227</v>
      </c>
      <c r="G209" s="4">
        <v>-1.210903730082344</v>
      </c>
      <c r="H209" s="4">
        <v>-2.0801138212958072</v>
      </c>
      <c r="J209" s="13">
        <v>70</v>
      </c>
      <c r="K209" s="14">
        <f t="shared" si="69"/>
        <v>-0.8343593900271864</v>
      </c>
      <c r="L209" s="14">
        <f t="shared" si="70"/>
        <v>-0.86998224061280705</v>
      </c>
      <c r="M209" s="14">
        <f>G210</f>
        <v>-0.95451332971491265</v>
      </c>
      <c r="N209" s="14">
        <f>G216</f>
        <v>-1.0690309435792875</v>
      </c>
      <c r="O209" s="14">
        <f t="shared" si="71"/>
        <v>-1.1935116773384054</v>
      </c>
      <c r="P209" s="14">
        <f t="shared" si="72"/>
        <v>-1.3141371979401817</v>
      </c>
      <c r="Q209" s="14">
        <f>G234</f>
        <v>-1.4241271546490017</v>
      </c>
      <c r="R209" s="15">
        <f>G240</f>
        <v>-1.5193676956234636</v>
      </c>
      <c r="U209" s="13">
        <v>70</v>
      </c>
      <c r="V209" s="14">
        <v>0.8343593900271864</v>
      </c>
      <c r="W209" s="14">
        <v>0.86998224061280705</v>
      </c>
      <c r="X209" s="14">
        <v>0.95451332971491265</v>
      </c>
      <c r="Y209" s="14">
        <v>1.0690309435792875</v>
      </c>
      <c r="Z209" s="14">
        <v>1.1935116773384054</v>
      </c>
      <c r="AA209" s="14">
        <v>1.3141371979401817</v>
      </c>
      <c r="AB209" s="14">
        <v>1.4241271546490017</v>
      </c>
      <c r="AC209" s="15">
        <v>1.5193676956234636</v>
      </c>
    </row>
    <row r="210" spans="1:29" ht="15.75" thickBot="1" x14ac:dyDescent="0.3">
      <c r="A210" s="3" t="s">
        <v>5</v>
      </c>
      <c r="B210" s="24">
        <v>70</v>
      </c>
      <c r="C210" s="20">
        <v>50</v>
      </c>
      <c r="D210" s="3">
        <v>-1.6</v>
      </c>
      <c r="E210" s="3">
        <v>6</v>
      </c>
      <c r="F210" s="4">
        <v>1.0528896734550173</v>
      </c>
      <c r="G210" s="4">
        <v>-0.95451332971491265</v>
      </c>
      <c r="H210" s="4">
        <v>-1.9795204506111546</v>
      </c>
      <c r="J210" s="16">
        <v>80</v>
      </c>
      <c r="K210" s="17">
        <f t="shared" si="69"/>
        <v>-0.7536854991287818</v>
      </c>
      <c r="L210" s="17">
        <f t="shared" si="70"/>
        <v>-0.75033382509975932</v>
      </c>
      <c r="M210" s="17">
        <f>G211</f>
        <v>-0.79308277316162501</v>
      </c>
      <c r="N210" s="17">
        <f>G217</f>
        <v>-0.8701790611114153</v>
      </c>
      <c r="O210" s="17">
        <f t="shared" si="71"/>
        <v>-0.96801680791810685</v>
      </c>
      <c r="P210" s="17">
        <f t="shared" si="72"/>
        <v>-1.0760365317549294</v>
      </c>
      <c r="Q210" s="17">
        <f>G235</f>
        <v>-1.1869562133688702</v>
      </c>
      <c r="R210" s="18">
        <f>G241</f>
        <v>-1.2937714015757429</v>
      </c>
      <c r="U210" s="16">
        <v>80</v>
      </c>
      <c r="V210" s="17">
        <v>0.7536854991287818</v>
      </c>
      <c r="W210" s="17">
        <v>0.75033382509975932</v>
      </c>
      <c r="X210" s="17">
        <v>0.79308277316162501</v>
      </c>
      <c r="Y210" s="17">
        <v>0.8701790611114153</v>
      </c>
      <c r="Z210" s="17">
        <v>0.96801680791810685</v>
      </c>
      <c r="AA210" s="17">
        <v>1.0760365317549294</v>
      </c>
      <c r="AB210" s="17">
        <v>1.1869562133688702</v>
      </c>
      <c r="AC210" s="18">
        <v>1.2937714015757429</v>
      </c>
    </row>
    <row r="211" spans="1:29" ht="15.75" thickBot="1" x14ac:dyDescent="0.3">
      <c r="A211" s="3" t="s">
        <v>5</v>
      </c>
      <c r="B211" s="24">
        <v>80</v>
      </c>
      <c r="C211" s="20">
        <v>50</v>
      </c>
      <c r="D211" s="3">
        <v>-1.6</v>
      </c>
      <c r="E211" s="3">
        <v>6</v>
      </c>
      <c r="F211" s="4">
        <v>1.0478277668247971</v>
      </c>
      <c r="G211" s="4">
        <v>-0.79308277316162501</v>
      </c>
      <c r="H211" s="4">
        <v>-1.9049108007553857</v>
      </c>
    </row>
    <row r="212" spans="1:29" x14ac:dyDescent="0.25">
      <c r="A212" s="3" t="s">
        <v>5</v>
      </c>
      <c r="B212" s="24">
        <v>30</v>
      </c>
      <c r="C212" s="20">
        <v>60</v>
      </c>
      <c r="D212" s="3">
        <v>-1.6</v>
      </c>
      <c r="E212" s="3">
        <v>6</v>
      </c>
      <c r="F212" s="4">
        <v>1.0908410142734846</v>
      </c>
      <c r="G212" s="4">
        <v>-2.2288130872781369</v>
      </c>
      <c r="H212" s="4">
        <v>-2.1653575921906558</v>
      </c>
      <c r="J212" s="5" t="s">
        <v>13</v>
      </c>
      <c r="K212" s="6" t="s">
        <v>10</v>
      </c>
      <c r="L212" s="7"/>
      <c r="M212" s="8"/>
      <c r="N212" s="8"/>
      <c r="O212" s="8"/>
      <c r="P212" s="8"/>
      <c r="Q212" s="8"/>
      <c r="R212" s="9"/>
      <c r="U212" s="5" t="s">
        <v>13</v>
      </c>
      <c r="V212" s="6" t="s">
        <v>10</v>
      </c>
      <c r="W212" s="7"/>
      <c r="X212" s="8"/>
      <c r="Y212" s="8"/>
      <c r="Z212" s="8"/>
      <c r="AA212" s="8"/>
      <c r="AB212" s="8"/>
      <c r="AC212" s="9"/>
    </row>
    <row r="213" spans="1:29" x14ac:dyDescent="0.25">
      <c r="A213" s="3" t="s">
        <v>5</v>
      </c>
      <c r="B213" s="24">
        <v>40</v>
      </c>
      <c r="C213" s="20">
        <v>60</v>
      </c>
      <c r="D213" s="3">
        <v>-1.6</v>
      </c>
      <c r="E213" s="3">
        <v>6</v>
      </c>
      <c r="F213" s="4">
        <v>1.088685746666548</v>
      </c>
      <c r="G213" s="4">
        <v>-1.9690247296161298</v>
      </c>
      <c r="H213" s="4">
        <v>-2.171827783931767</v>
      </c>
      <c r="J213" s="10" t="s">
        <v>11</v>
      </c>
      <c r="K213" s="11">
        <v>30</v>
      </c>
      <c r="L213" s="11">
        <v>40</v>
      </c>
      <c r="M213" s="11">
        <v>50</v>
      </c>
      <c r="N213" s="11">
        <v>60</v>
      </c>
      <c r="O213" s="11">
        <v>70</v>
      </c>
      <c r="P213" s="11">
        <v>80</v>
      </c>
      <c r="Q213" s="11">
        <v>90</v>
      </c>
      <c r="R213" s="12">
        <v>100</v>
      </c>
      <c r="U213" s="10" t="s">
        <v>11</v>
      </c>
      <c r="V213" s="11">
        <v>30</v>
      </c>
      <c r="W213" s="11">
        <v>40</v>
      </c>
      <c r="X213" s="11">
        <v>50</v>
      </c>
      <c r="Y213" s="11">
        <v>60</v>
      </c>
      <c r="Z213" s="11">
        <v>70</v>
      </c>
      <c r="AA213" s="11">
        <v>80</v>
      </c>
      <c r="AB213" s="11">
        <v>90</v>
      </c>
      <c r="AC213" s="12">
        <v>100</v>
      </c>
    </row>
    <row r="214" spans="1:29" x14ac:dyDescent="0.25">
      <c r="A214" s="3" t="s">
        <v>5</v>
      </c>
      <c r="B214" s="24">
        <v>50</v>
      </c>
      <c r="C214" s="20">
        <v>60</v>
      </c>
      <c r="D214" s="3">
        <v>-1.6</v>
      </c>
      <c r="E214" s="3">
        <v>6</v>
      </c>
      <c r="F214" s="4">
        <v>1.0840778518560112</v>
      </c>
      <c r="G214" s="4">
        <v>-1.6477297275125797</v>
      </c>
      <c r="H214" s="4">
        <v>-2.1493776292495794</v>
      </c>
      <c r="J214" s="13">
        <v>30</v>
      </c>
      <c r="K214" s="14">
        <f>H194</f>
        <v>-2.1719784291561117</v>
      </c>
      <c r="L214" s="14">
        <f>H200</f>
        <v>-2.1979743736360389</v>
      </c>
      <c r="M214" s="14">
        <f>H206</f>
        <v>-2.1974586240942697</v>
      </c>
      <c r="N214" s="14">
        <f>H212</f>
        <v>-2.1653575921906558</v>
      </c>
      <c r="O214" s="14">
        <f>H218</f>
        <v>-2.102011159222088</v>
      </c>
      <c r="P214" s="14">
        <f>H224</f>
        <v>-2.0157168064039994</v>
      </c>
      <c r="Q214" s="14">
        <f>H230</f>
        <v>-1.9221909875169874</v>
      </c>
      <c r="R214" s="15">
        <f>H236</f>
        <v>-1.8398892809377947</v>
      </c>
      <c r="U214" s="13">
        <v>30</v>
      </c>
      <c r="V214" s="14">
        <v>2.1719784291561117</v>
      </c>
      <c r="W214" s="14">
        <v>2.1979743736360389</v>
      </c>
      <c r="X214" s="14">
        <v>2.1974586240942697</v>
      </c>
      <c r="Y214" s="14">
        <v>2.1653575921906558</v>
      </c>
      <c r="Z214" s="14">
        <v>2.102011159222088</v>
      </c>
      <c r="AA214" s="14">
        <v>2.0157168064039994</v>
      </c>
      <c r="AB214" s="14">
        <v>1.9221909875169874</v>
      </c>
      <c r="AC214" s="15">
        <v>1.8398892809377947</v>
      </c>
    </row>
    <row r="215" spans="1:29" x14ac:dyDescent="0.25">
      <c r="A215" s="3" t="s">
        <v>5</v>
      </c>
      <c r="B215" s="24">
        <v>60</v>
      </c>
      <c r="C215" s="20">
        <v>60</v>
      </c>
      <c r="D215" s="3">
        <v>-1.6</v>
      </c>
      <c r="E215" s="3">
        <v>6</v>
      </c>
      <c r="F215" s="4">
        <v>1.0764849008826225</v>
      </c>
      <c r="G215" s="4">
        <v>-1.3362104282684457</v>
      </c>
      <c r="H215" s="4">
        <v>-2.0858848513325681</v>
      </c>
      <c r="J215" s="13">
        <v>40</v>
      </c>
      <c r="K215" s="14">
        <f>H195</f>
        <v>-2.1763211751033418</v>
      </c>
      <c r="L215" s="14">
        <f>H201</f>
        <v>-2.198884665258078</v>
      </c>
      <c r="M215" s="14">
        <f>H207</f>
        <v>-2.1989765514153463</v>
      </c>
      <c r="N215" s="14">
        <f>H213</f>
        <v>-2.171827783931767</v>
      </c>
      <c r="O215" s="14">
        <f>H219</f>
        <v>-2.1156477997979395</v>
      </c>
      <c r="P215" s="14">
        <f>H225</f>
        <v>-2.0352739072729333</v>
      </c>
      <c r="Q215" s="14">
        <f>H231</f>
        <v>-1.943657803201388</v>
      </c>
      <c r="R215" s="15">
        <f>H237</f>
        <v>-1.8587208703048379</v>
      </c>
      <c r="U215" s="13">
        <v>40</v>
      </c>
      <c r="V215" s="14">
        <v>2.1763211751033418</v>
      </c>
      <c r="W215" s="14">
        <v>2.198884665258078</v>
      </c>
      <c r="X215" s="14">
        <v>2.1989765514153463</v>
      </c>
      <c r="Y215" s="14">
        <v>2.171827783931767</v>
      </c>
      <c r="Z215" s="14">
        <v>2.1156477997979395</v>
      </c>
      <c r="AA215" s="14">
        <v>2.0352739072729333</v>
      </c>
      <c r="AB215" s="14">
        <v>1.943657803201388</v>
      </c>
      <c r="AC215" s="15">
        <v>1.8587208703048379</v>
      </c>
    </row>
    <row r="216" spans="1:29" x14ac:dyDescent="0.25">
      <c r="A216" s="3" t="s">
        <v>5</v>
      </c>
      <c r="B216" s="24">
        <v>70</v>
      </c>
      <c r="C216" s="20">
        <v>60</v>
      </c>
      <c r="D216" s="3">
        <v>-1.6</v>
      </c>
      <c r="E216" s="3">
        <v>6</v>
      </c>
      <c r="F216" s="4">
        <v>1.0677614589588591</v>
      </c>
      <c r="G216" s="4">
        <v>-1.0690309435792875</v>
      </c>
      <c r="H216" s="4">
        <v>-2.00208255725307</v>
      </c>
      <c r="J216" s="13">
        <v>50</v>
      </c>
      <c r="K216" s="14">
        <f>H196</f>
        <v>-2.1421018691971252</v>
      </c>
      <c r="L216" s="14">
        <f>H202</f>
        <v>-2.1581450550109138</v>
      </c>
      <c r="M216" s="14">
        <f>H208</f>
        <v>-2.1618291809204915</v>
      </c>
      <c r="N216" s="14">
        <f>H214</f>
        <v>-2.1493776292495794</v>
      </c>
      <c r="O216" s="14">
        <f>H220</f>
        <v>-2.1151974106407554</v>
      </c>
      <c r="P216" s="14">
        <f>H226</f>
        <v>-2.0568753763176639</v>
      </c>
      <c r="Q216" s="14">
        <f>H232</f>
        <v>-1.9800995760739357</v>
      </c>
      <c r="R216" s="15">
        <f>H238</f>
        <v>-1.8989637143020961</v>
      </c>
      <c r="U216" s="13">
        <v>50</v>
      </c>
      <c r="V216" s="14">
        <v>2.1421018691971252</v>
      </c>
      <c r="W216" s="14">
        <v>2.1581450550109138</v>
      </c>
      <c r="X216" s="14">
        <v>2.1618291809204915</v>
      </c>
      <c r="Y216" s="14">
        <v>2.1493776292495794</v>
      </c>
      <c r="Z216" s="14">
        <v>2.1151974106407554</v>
      </c>
      <c r="AA216" s="14">
        <v>2.0568753763176639</v>
      </c>
      <c r="AB216" s="14">
        <v>1.9800995760739357</v>
      </c>
      <c r="AC216" s="15">
        <v>1.8989637143020961</v>
      </c>
    </row>
    <row r="217" spans="1:29" x14ac:dyDescent="0.25">
      <c r="A217" s="3" t="s">
        <v>5</v>
      </c>
      <c r="B217" s="24">
        <v>80</v>
      </c>
      <c r="C217" s="20">
        <v>60</v>
      </c>
      <c r="D217" s="3">
        <v>-1.6</v>
      </c>
      <c r="E217" s="3">
        <v>6</v>
      </c>
      <c r="F217" s="4">
        <v>1.0620099026110947</v>
      </c>
      <c r="G217" s="4">
        <v>-0.8701790611114153</v>
      </c>
      <c r="H217" s="4">
        <v>-1.9408692977650599</v>
      </c>
      <c r="J217" s="13">
        <v>60</v>
      </c>
      <c r="K217" s="14">
        <f>H197</f>
        <v>-2.0672711135473119</v>
      </c>
      <c r="L217" s="14">
        <f>H203</f>
        <v>-2.0731568704401351</v>
      </c>
      <c r="M217" s="14">
        <f>H209</f>
        <v>-2.0801138212958072</v>
      </c>
      <c r="N217" s="14">
        <f>H215</f>
        <v>-2.0858848513325681</v>
      </c>
      <c r="O217" s="14">
        <f>H221</f>
        <v>-2.0806793977203206</v>
      </c>
      <c r="P217" s="14">
        <f>H227</f>
        <v>-2.0533738811598705</v>
      </c>
      <c r="Q217" s="14">
        <f>H233</f>
        <v>-2.000220126973173</v>
      </c>
      <c r="R217" s="15">
        <f>H239</f>
        <v>-1.9294095746260864</v>
      </c>
      <c r="U217" s="13">
        <v>60</v>
      </c>
      <c r="V217" s="14">
        <v>2.0672711135473119</v>
      </c>
      <c r="W217" s="14">
        <v>2.0731568704401351</v>
      </c>
      <c r="X217" s="14">
        <v>2.0801138212958072</v>
      </c>
      <c r="Y217" s="14">
        <v>2.0858848513325681</v>
      </c>
      <c r="Z217" s="14">
        <v>2.0806793977203206</v>
      </c>
      <c r="AA217" s="14">
        <v>2.0533738811598705</v>
      </c>
      <c r="AB217" s="14">
        <v>2.000220126973173</v>
      </c>
      <c r="AC217" s="15">
        <v>1.9294095746260864</v>
      </c>
    </row>
    <row r="218" spans="1:29" x14ac:dyDescent="0.25">
      <c r="A218" s="3" t="s">
        <v>5</v>
      </c>
      <c r="B218" s="24">
        <v>30</v>
      </c>
      <c r="C218" s="20">
        <v>70</v>
      </c>
      <c r="D218" s="3">
        <v>-1.6</v>
      </c>
      <c r="E218" s="3">
        <v>6</v>
      </c>
      <c r="F218" s="4">
        <v>1.1043644907385988</v>
      </c>
      <c r="G218" s="4">
        <v>-2.2807044082368573</v>
      </c>
      <c r="H218" s="4">
        <v>-2.102011159222088</v>
      </c>
      <c r="J218" s="13">
        <v>70</v>
      </c>
      <c r="K218" s="14">
        <f>H198</f>
        <v>-1.972174407333013</v>
      </c>
      <c r="L218" s="14">
        <f>H204</f>
        <v>-1.9691897528605697</v>
      </c>
      <c r="M218" s="14">
        <f>H210</f>
        <v>-1.9795204506111546</v>
      </c>
      <c r="N218" s="14">
        <f>H216</f>
        <v>-2.00208255725307</v>
      </c>
      <c r="O218" s="14">
        <f>H222</f>
        <v>-2.0238198228436071</v>
      </c>
      <c r="P218" s="14">
        <f>H228</f>
        <v>-2.0265752766005627</v>
      </c>
      <c r="Q218" s="14">
        <f>H234</f>
        <v>-1.9984844859284052</v>
      </c>
      <c r="R218" s="15">
        <f>H240</f>
        <v>-1.941931186620161</v>
      </c>
      <c r="U218" s="13">
        <v>70</v>
      </c>
      <c r="V218" s="14">
        <v>1.972174407333013</v>
      </c>
      <c r="W218" s="14">
        <v>1.9691897528605697</v>
      </c>
      <c r="X218" s="14">
        <v>1.9795204506111546</v>
      </c>
      <c r="Y218" s="14">
        <v>2.00208255725307</v>
      </c>
      <c r="Z218" s="14">
        <v>2.0238198228436071</v>
      </c>
      <c r="AA218" s="14">
        <v>2.0265752766005627</v>
      </c>
      <c r="AB218" s="14">
        <v>1.9984844859284052</v>
      </c>
      <c r="AC218" s="15">
        <v>1.941931186620161</v>
      </c>
    </row>
    <row r="219" spans="1:29" ht="15.75" thickBot="1" x14ac:dyDescent="0.3">
      <c r="A219" s="3" t="s">
        <v>5</v>
      </c>
      <c r="B219" s="24">
        <v>40</v>
      </c>
      <c r="C219" s="20">
        <v>70</v>
      </c>
      <c r="D219" s="3">
        <v>-1.6</v>
      </c>
      <c r="E219" s="3">
        <v>6</v>
      </c>
      <c r="F219" s="4">
        <v>1.1032683537818759</v>
      </c>
      <c r="G219" s="4">
        <v>-2.046361173761706</v>
      </c>
      <c r="H219" s="4">
        <v>-2.1156477997979395</v>
      </c>
      <c r="J219" s="16">
        <v>80</v>
      </c>
      <c r="K219" s="17">
        <f>H199</f>
        <v>-1.8921499355565616</v>
      </c>
      <c r="L219" s="17">
        <f>H205</f>
        <v>-1.8882933794864876</v>
      </c>
      <c r="M219" s="17">
        <f>H211</f>
        <v>-1.9049108007553857</v>
      </c>
      <c r="N219" s="17">
        <f>H217</f>
        <v>-1.9408692977650599</v>
      </c>
      <c r="O219" s="17">
        <f>H223</f>
        <v>-1.9815151408217222</v>
      </c>
      <c r="P219" s="17">
        <f>H229</f>
        <v>-2.0054860280280495</v>
      </c>
      <c r="Q219" s="17">
        <f>H235</f>
        <v>-1.9967295781081558</v>
      </c>
      <c r="R219" s="18">
        <f>H241</f>
        <v>-1.9537814551018924</v>
      </c>
      <c r="U219" s="16">
        <v>80</v>
      </c>
      <c r="V219" s="17">
        <v>1.8921499355565616</v>
      </c>
      <c r="W219" s="17">
        <v>1.8882933794864876</v>
      </c>
      <c r="X219" s="17">
        <v>1.9049108007553857</v>
      </c>
      <c r="Y219" s="17">
        <v>1.9408692977650599</v>
      </c>
      <c r="Z219" s="17">
        <v>1.9815151408217222</v>
      </c>
      <c r="AA219" s="17">
        <v>2.0054860280280495</v>
      </c>
      <c r="AB219" s="17">
        <v>1.9967295781081558</v>
      </c>
      <c r="AC219" s="18">
        <v>1.9537814551018924</v>
      </c>
    </row>
    <row r="220" spans="1:29" ht="15.75" thickBot="1" x14ac:dyDescent="0.3">
      <c r="A220" s="3" t="s">
        <v>5</v>
      </c>
      <c r="B220" s="24">
        <v>50</v>
      </c>
      <c r="C220" s="20">
        <v>70</v>
      </c>
      <c r="D220" s="3">
        <v>-1.6</v>
      </c>
      <c r="E220" s="3">
        <v>6</v>
      </c>
      <c r="F220" s="4">
        <v>1.0989570051039785</v>
      </c>
      <c r="G220" s="4">
        <v>-1.7525344886442737</v>
      </c>
      <c r="H220" s="4">
        <v>-2.1151974106407554</v>
      </c>
    </row>
    <row r="221" spans="1:29" x14ac:dyDescent="0.25">
      <c r="A221" s="3" t="s">
        <v>5</v>
      </c>
      <c r="B221" s="24">
        <v>60</v>
      </c>
      <c r="C221" s="20">
        <v>70</v>
      </c>
      <c r="D221" s="3">
        <v>-1.6</v>
      </c>
      <c r="E221" s="3">
        <v>6</v>
      </c>
      <c r="F221" s="4">
        <v>1.0912515554411517</v>
      </c>
      <c r="G221" s="4">
        <v>-1.4614377198128745</v>
      </c>
      <c r="H221" s="4">
        <v>-2.0806793977203206</v>
      </c>
      <c r="J221" s="5" t="s">
        <v>29</v>
      </c>
      <c r="K221" s="6" t="s">
        <v>10</v>
      </c>
      <c r="L221" s="7"/>
      <c r="M221" s="8"/>
      <c r="N221" s="8"/>
      <c r="O221" s="8"/>
      <c r="P221" s="8"/>
      <c r="Q221" s="8"/>
      <c r="R221" s="9"/>
      <c r="U221" s="5" t="s">
        <v>29</v>
      </c>
      <c r="V221" s="6" t="s">
        <v>10</v>
      </c>
      <c r="W221" s="7"/>
      <c r="X221" s="8"/>
      <c r="Y221" s="8"/>
      <c r="Z221" s="8"/>
      <c r="AA221" s="8"/>
      <c r="AB221" s="8"/>
      <c r="AC221" s="9"/>
    </row>
    <row r="222" spans="1:29" x14ac:dyDescent="0.25">
      <c r="A222" s="3" t="s">
        <v>5</v>
      </c>
      <c r="B222" s="24">
        <v>70</v>
      </c>
      <c r="C222" s="20">
        <v>70</v>
      </c>
      <c r="D222" s="3">
        <v>-1.6</v>
      </c>
      <c r="E222" s="3">
        <v>6</v>
      </c>
      <c r="F222" s="4">
        <v>1.0823268543829525</v>
      </c>
      <c r="G222" s="4">
        <v>-1.1935116773384054</v>
      </c>
      <c r="H222" s="4">
        <v>-2.0238198228436071</v>
      </c>
      <c r="J222" s="10" t="s">
        <v>11</v>
      </c>
      <c r="K222" s="11">
        <v>30</v>
      </c>
      <c r="L222" s="11">
        <v>40</v>
      </c>
      <c r="M222" s="11">
        <v>50</v>
      </c>
      <c r="N222" s="11">
        <v>60</v>
      </c>
      <c r="O222" s="11">
        <v>70</v>
      </c>
      <c r="P222" s="11">
        <v>80</v>
      </c>
      <c r="Q222" s="11">
        <v>90</v>
      </c>
      <c r="R222" s="12">
        <v>100</v>
      </c>
      <c r="U222" s="10" t="s">
        <v>11</v>
      </c>
      <c r="V222" s="11">
        <v>30</v>
      </c>
      <c r="W222" s="11">
        <v>40</v>
      </c>
      <c r="X222" s="11">
        <v>50</v>
      </c>
      <c r="Y222" s="11">
        <v>60</v>
      </c>
      <c r="Z222" s="11">
        <v>70</v>
      </c>
      <c r="AA222" s="11">
        <v>80</v>
      </c>
      <c r="AB222" s="11">
        <v>90</v>
      </c>
      <c r="AC222" s="12">
        <v>100</v>
      </c>
    </row>
    <row r="223" spans="1:29" x14ac:dyDescent="0.25">
      <c r="A223" s="3" t="s">
        <v>5</v>
      </c>
      <c r="B223" s="24">
        <v>80</v>
      </c>
      <c r="C223" s="20">
        <v>70</v>
      </c>
      <c r="D223" s="3">
        <v>-1.6</v>
      </c>
      <c r="E223" s="3">
        <v>6</v>
      </c>
      <c r="F223" s="4">
        <v>1.0761608070235658</v>
      </c>
      <c r="G223" s="4">
        <v>-0.96801680791810685</v>
      </c>
      <c r="H223" s="4">
        <v>-1.9815151408217222</v>
      </c>
      <c r="J223" s="13">
        <v>30</v>
      </c>
      <c r="K223" s="31">
        <f>K205+K214</f>
        <v>-4.0798010392323683</v>
      </c>
      <c r="L223" s="31">
        <f t="shared" ref="L223:R223" si="73">L205+L214</f>
        <v>-4.2322480096147252</v>
      </c>
      <c r="M223" s="31">
        <f t="shared" si="73"/>
        <v>-4.3430227234159258</v>
      </c>
      <c r="N223" s="31">
        <f t="shared" si="73"/>
        <v>-4.3941706794687931</v>
      </c>
      <c r="O223" s="31">
        <f t="shared" si="73"/>
        <v>-4.3827155674589449</v>
      </c>
      <c r="P223" s="31">
        <f t="shared" si="73"/>
        <v>-4.3229233663939537</v>
      </c>
      <c r="Q223" s="31">
        <f t="shared" si="73"/>
        <v>-4.2391615036921593</v>
      </c>
      <c r="R223" s="15">
        <f t="shared" si="73"/>
        <v>-4.1529853220903306</v>
      </c>
      <c r="U223" s="13">
        <v>30</v>
      </c>
      <c r="V223" s="31">
        <v>4.0798010392323683</v>
      </c>
      <c r="W223" s="31">
        <v>4.2322480096147252</v>
      </c>
      <c r="X223" s="31">
        <v>4.3430227234159258</v>
      </c>
      <c r="Y223" s="31">
        <v>4.3941706794687931</v>
      </c>
      <c r="Z223" s="31">
        <v>4.3827155674589449</v>
      </c>
      <c r="AA223" s="31">
        <v>4.3229233663939537</v>
      </c>
      <c r="AB223" s="31">
        <v>4.2391615036921593</v>
      </c>
      <c r="AC223" s="15">
        <v>4.1529853220903306</v>
      </c>
    </row>
    <row r="224" spans="1:29" x14ac:dyDescent="0.25">
      <c r="A224" s="3" t="s">
        <v>5</v>
      </c>
      <c r="B224" s="24">
        <v>30</v>
      </c>
      <c r="C224" s="20">
        <v>80</v>
      </c>
      <c r="D224" s="3">
        <v>-1.6</v>
      </c>
      <c r="E224" s="3">
        <v>6</v>
      </c>
      <c r="F224" s="4">
        <v>1.1164312337525191</v>
      </c>
      <c r="G224" s="4">
        <v>-2.3072065599899543</v>
      </c>
      <c r="H224" s="4">
        <v>-2.0157168064039994</v>
      </c>
      <c r="J224" s="13">
        <v>40</v>
      </c>
      <c r="K224" s="31">
        <f t="shared" ref="K224:R224" si="74">K206+K215</f>
        <v>-3.8298370579943506</v>
      </c>
      <c r="L224" s="31">
        <f t="shared" si="74"/>
        <v>-3.9604680471687743</v>
      </c>
      <c r="M224" s="31">
        <f t="shared" si="74"/>
        <v>-4.0706298195841244</v>
      </c>
      <c r="N224" s="31">
        <f t="shared" si="74"/>
        <v>-4.1408525135478964</v>
      </c>
      <c r="O224" s="31">
        <f t="shared" si="74"/>
        <v>-4.1620089735596455</v>
      </c>
      <c r="P224" s="31">
        <f t="shared" si="74"/>
        <v>-4.1406383462184806</v>
      </c>
      <c r="Q224" s="31">
        <f t="shared" si="74"/>
        <v>-4.0949602737595612</v>
      </c>
      <c r="R224" s="15">
        <f t="shared" si="74"/>
        <v>-4.0434057094808562</v>
      </c>
      <c r="U224" s="13">
        <v>40</v>
      </c>
      <c r="V224" s="31">
        <v>3.8298370579943506</v>
      </c>
      <c r="W224" s="31">
        <v>3.9604680471687743</v>
      </c>
      <c r="X224" s="31">
        <v>4.0706298195841244</v>
      </c>
      <c r="Y224" s="31">
        <v>4.1408525135478964</v>
      </c>
      <c r="Z224" s="31">
        <v>4.1620089735596455</v>
      </c>
      <c r="AA224" s="31">
        <v>4.1406383462184806</v>
      </c>
      <c r="AB224" s="31">
        <v>4.0949602737595612</v>
      </c>
      <c r="AC224" s="15">
        <v>4.0434057094808562</v>
      </c>
    </row>
    <row r="225" spans="1:29" x14ac:dyDescent="0.25">
      <c r="A225" s="3" t="s">
        <v>5</v>
      </c>
      <c r="B225" s="24">
        <v>40</v>
      </c>
      <c r="C225" s="20">
        <v>80</v>
      </c>
      <c r="D225" s="3">
        <v>-1.6</v>
      </c>
      <c r="E225" s="3">
        <v>6</v>
      </c>
      <c r="F225" s="4">
        <v>1.1170419530676932</v>
      </c>
      <c r="G225" s="4">
        <v>-2.1053644389455477</v>
      </c>
      <c r="H225" s="4">
        <v>-2.0352739072729333</v>
      </c>
      <c r="J225" s="13">
        <v>50</v>
      </c>
      <c r="K225" s="31">
        <f t="shared" ref="K225:R225" si="75">K207+K216</f>
        <v>-3.4785773149551225</v>
      </c>
      <c r="L225" s="31">
        <f t="shared" si="75"/>
        <v>-3.581767188548473</v>
      </c>
      <c r="M225" s="31">
        <f t="shared" si="75"/>
        <v>-3.6952545569517365</v>
      </c>
      <c r="N225" s="31">
        <f t="shared" si="75"/>
        <v>-3.7971073567621589</v>
      </c>
      <c r="O225" s="31">
        <f t="shared" si="75"/>
        <v>-3.8677318992850291</v>
      </c>
      <c r="P225" s="31">
        <f t="shared" si="75"/>
        <v>-3.8995703348664046</v>
      </c>
      <c r="Q225" s="31">
        <f t="shared" si="75"/>
        <v>-3.8990687094833332</v>
      </c>
      <c r="R225" s="15">
        <f t="shared" si="75"/>
        <v>-3.8794845892059246</v>
      </c>
      <c r="U225" s="13">
        <v>50</v>
      </c>
      <c r="V225" s="31">
        <v>3.4785773149551225</v>
      </c>
      <c r="W225" s="31">
        <v>3.581767188548473</v>
      </c>
      <c r="X225" s="31">
        <v>3.6952545569517365</v>
      </c>
      <c r="Y225" s="31">
        <v>3.7971073567621589</v>
      </c>
      <c r="Z225" s="31">
        <v>3.8677318992850291</v>
      </c>
      <c r="AA225" s="31">
        <v>3.8995703348664046</v>
      </c>
      <c r="AB225" s="31">
        <v>3.8990687094833332</v>
      </c>
      <c r="AC225" s="15">
        <v>3.8794845892059246</v>
      </c>
    </row>
    <row r="226" spans="1:29" x14ac:dyDescent="0.25">
      <c r="A226" s="3" t="s">
        <v>5</v>
      </c>
      <c r="B226" s="24">
        <v>50</v>
      </c>
      <c r="C226" s="20">
        <v>80</v>
      </c>
      <c r="D226" s="3">
        <v>-1.6</v>
      </c>
      <c r="E226" s="3">
        <v>6</v>
      </c>
      <c r="F226" s="4">
        <v>1.1132308713748653</v>
      </c>
      <c r="G226" s="4">
        <v>-1.8426949585487407</v>
      </c>
      <c r="H226" s="4">
        <v>-2.0568753763176639</v>
      </c>
      <c r="J226" s="13">
        <v>60</v>
      </c>
      <c r="K226" s="31">
        <f t="shared" ref="K226:R226" si="76">K208+K217</f>
        <v>-3.1073489157248373</v>
      </c>
      <c r="L226" s="31">
        <f t="shared" si="76"/>
        <v>-3.1784332219599811</v>
      </c>
      <c r="M226" s="31">
        <f t="shared" si="76"/>
        <v>-3.2910175513781512</v>
      </c>
      <c r="N226" s="31">
        <f t="shared" si="76"/>
        <v>-3.422095279601014</v>
      </c>
      <c r="O226" s="31">
        <f t="shared" si="76"/>
        <v>-3.5421171175331949</v>
      </c>
      <c r="P226" s="31">
        <f t="shared" si="76"/>
        <v>-3.628349229613669</v>
      </c>
      <c r="Q226" s="31">
        <f t="shared" si="76"/>
        <v>-3.6732309052828169</v>
      </c>
      <c r="R226" s="15">
        <f t="shared" si="76"/>
        <v>-3.6829395768315445</v>
      </c>
      <c r="U226" s="13">
        <v>60</v>
      </c>
      <c r="V226" s="31">
        <v>3.1073489157248373</v>
      </c>
      <c r="W226" s="31">
        <v>3.1784332219599811</v>
      </c>
      <c r="X226" s="31">
        <v>3.2910175513781512</v>
      </c>
      <c r="Y226" s="31">
        <v>3.422095279601014</v>
      </c>
      <c r="Z226" s="31">
        <v>3.5421171175331949</v>
      </c>
      <c r="AA226" s="31">
        <v>3.628349229613669</v>
      </c>
      <c r="AB226" s="31">
        <v>3.6732309052828169</v>
      </c>
      <c r="AC226" s="15">
        <v>3.6829395768315445</v>
      </c>
    </row>
    <row r="227" spans="1:29" x14ac:dyDescent="0.25">
      <c r="A227" s="3" t="s">
        <v>5</v>
      </c>
      <c r="B227" s="24">
        <v>60</v>
      </c>
      <c r="C227" s="20">
        <v>80</v>
      </c>
      <c r="D227" s="3">
        <v>-1.6</v>
      </c>
      <c r="E227" s="3">
        <v>6</v>
      </c>
      <c r="F227" s="4">
        <v>1.105187560483295</v>
      </c>
      <c r="G227" s="4">
        <v>-1.5749753484537985</v>
      </c>
      <c r="H227" s="4">
        <v>-2.0533738811598705</v>
      </c>
      <c r="J227" s="13">
        <v>70</v>
      </c>
      <c r="K227" s="31">
        <f t="shared" ref="K227:R227" si="77">K209+K218</f>
        <v>-2.8065337973601991</v>
      </c>
      <c r="L227" s="31">
        <f t="shared" si="77"/>
        <v>-2.8391719934733768</v>
      </c>
      <c r="M227" s="31">
        <f t="shared" si="77"/>
        <v>-2.9340337803260672</v>
      </c>
      <c r="N227" s="31">
        <f t="shared" si="77"/>
        <v>-3.0711135008323573</v>
      </c>
      <c r="O227" s="31">
        <f t="shared" si="77"/>
        <v>-3.2173315001820124</v>
      </c>
      <c r="P227" s="31">
        <f t="shared" si="77"/>
        <v>-3.3407124745407444</v>
      </c>
      <c r="Q227" s="31">
        <f>Q209+Q218</f>
        <v>-3.422611640577407</v>
      </c>
      <c r="R227" s="15">
        <f t="shared" ref="R227" si="78">R209+R218</f>
        <v>-3.4612988822436246</v>
      </c>
      <c r="U227" s="13">
        <v>70</v>
      </c>
      <c r="V227" s="31">
        <v>2.8065337973601991</v>
      </c>
      <c r="W227" s="31">
        <v>2.8391719934733768</v>
      </c>
      <c r="X227" s="31">
        <v>2.9340337803260672</v>
      </c>
      <c r="Y227" s="31">
        <v>3.0711135008323573</v>
      </c>
      <c r="Z227" s="31">
        <v>3.2173315001820124</v>
      </c>
      <c r="AA227" s="31">
        <v>3.3407124745407444</v>
      </c>
      <c r="AB227" s="31">
        <v>3.422611640577407</v>
      </c>
      <c r="AC227" s="15">
        <v>3.4612988822436246</v>
      </c>
    </row>
    <row r="228" spans="1:29" ht="15.75" thickBot="1" x14ac:dyDescent="0.3">
      <c r="A228" s="3" t="s">
        <v>5</v>
      </c>
      <c r="B228" s="24">
        <v>70</v>
      </c>
      <c r="C228" s="20">
        <v>80</v>
      </c>
      <c r="D228" s="3">
        <v>-1.6</v>
      </c>
      <c r="E228" s="3">
        <v>6</v>
      </c>
      <c r="F228" s="4">
        <v>1.0956740013375958</v>
      </c>
      <c r="G228" s="4">
        <v>-1.3141371979401817</v>
      </c>
      <c r="H228" s="4">
        <v>-2.0265752766005627</v>
      </c>
      <c r="J228" s="16">
        <v>80</v>
      </c>
      <c r="K228" s="17">
        <f t="shared" ref="K228:R228" si="79">K210+K219</f>
        <v>-2.6458354346853437</v>
      </c>
      <c r="L228" s="17">
        <f t="shared" si="79"/>
        <v>-2.6386272045862471</v>
      </c>
      <c r="M228" s="17">
        <f t="shared" si="79"/>
        <v>-2.6979935739170107</v>
      </c>
      <c r="N228" s="17">
        <f t="shared" si="79"/>
        <v>-2.8110483588764752</v>
      </c>
      <c r="O228" s="17">
        <f t="shared" si="79"/>
        <v>-2.9495319487398293</v>
      </c>
      <c r="P228" s="17">
        <f t="shared" si="79"/>
        <v>-3.0815225597829787</v>
      </c>
      <c r="Q228" s="17">
        <f t="shared" si="79"/>
        <v>-3.1836857914770258</v>
      </c>
      <c r="R228" s="18">
        <f t="shared" si="79"/>
        <v>-3.2475528566776353</v>
      </c>
      <c r="U228" s="16">
        <v>80</v>
      </c>
      <c r="V228" s="17">
        <v>2.6458354346853437</v>
      </c>
      <c r="W228" s="17">
        <v>2.6386272045862471</v>
      </c>
      <c r="X228" s="17">
        <v>2.6979935739170107</v>
      </c>
      <c r="Y228" s="17">
        <v>2.8110483588764752</v>
      </c>
      <c r="Z228" s="17">
        <v>2.9495319487398293</v>
      </c>
      <c r="AA228" s="17">
        <v>3.0815225597829787</v>
      </c>
      <c r="AB228" s="17">
        <v>3.1836857914770258</v>
      </c>
      <c r="AC228" s="18">
        <v>3.2475528566776353</v>
      </c>
    </row>
    <row r="229" spans="1:29" ht="15.75" thickBot="1" x14ac:dyDescent="0.3">
      <c r="A229" s="3" t="s">
        <v>5</v>
      </c>
      <c r="B229" s="24">
        <v>80</v>
      </c>
      <c r="C229" s="20">
        <v>80</v>
      </c>
      <c r="D229" s="3">
        <v>-1.6</v>
      </c>
      <c r="E229" s="3">
        <v>6</v>
      </c>
      <c r="F229" s="4">
        <v>1.0887683306518072</v>
      </c>
      <c r="G229" s="4">
        <v>-1.0760365317549294</v>
      </c>
      <c r="H229" s="4">
        <v>-2.0054860280280495</v>
      </c>
    </row>
    <row r="230" spans="1:29" x14ac:dyDescent="0.25">
      <c r="A230" s="3" t="s">
        <v>5</v>
      </c>
      <c r="B230" s="24">
        <v>30</v>
      </c>
      <c r="C230" s="20">
        <v>90</v>
      </c>
      <c r="D230" s="3">
        <v>-1.6</v>
      </c>
      <c r="E230" s="3">
        <v>6</v>
      </c>
      <c r="F230" s="4">
        <v>1.1266027115288868</v>
      </c>
      <c r="G230" s="4">
        <v>-2.3169705161751715</v>
      </c>
      <c r="H230" s="4">
        <v>-1.9221909875169874</v>
      </c>
      <c r="J230" s="5" t="s">
        <v>30</v>
      </c>
      <c r="K230" s="6" t="s">
        <v>10</v>
      </c>
      <c r="L230" s="7"/>
      <c r="M230" s="8"/>
      <c r="N230" s="8"/>
      <c r="O230" s="8"/>
      <c r="P230" s="8"/>
      <c r="Q230" s="8"/>
      <c r="R230" s="9"/>
      <c r="U230" s="5" t="s">
        <v>30</v>
      </c>
      <c r="V230" s="6" t="s">
        <v>10</v>
      </c>
      <c r="W230" s="7"/>
      <c r="X230" s="8"/>
      <c r="Y230" s="8"/>
      <c r="Z230" s="8"/>
      <c r="AA230" s="8"/>
      <c r="AB230" s="8"/>
      <c r="AC230" s="9"/>
    </row>
    <row r="231" spans="1:29" x14ac:dyDescent="0.25">
      <c r="A231" s="3" t="s">
        <v>5</v>
      </c>
      <c r="B231" s="24">
        <v>40</v>
      </c>
      <c r="C231" s="20">
        <v>90</v>
      </c>
      <c r="D231" s="3">
        <v>-1.6</v>
      </c>
      <c r="E231" s="3">
        <v>6</v>
      </c>
      <c r="F231" s="4">
        <v>1.1297477854667859</v>
      </c>
      <c r="G231" s="4">
        <v>-2.1513024705581731</v>
      </c>
      <c r="H231" s="4">
        <v>-1.943657803201388</v>
      </c>
      <c r="J231" s="10" t="s">
        <v>11</v>
      </c>
      <c r="K231" s="11">
        <v>30</v>
      </c>
      <c r="L231" s="11">
        <v>40</v>
      </c>
      <c r="M231" s="11">
        <v>50</v>
      </c>
      <c r="N231" s="11">
        <v>60</v>
      </c>
      <c r="O231" s="11">
        <v>70</v>
      </c>
      <c r="P231" s="11">
        <v>80</v>
      </c>
      <c r="Q231" s="11">
        <v>90</v>
      </c>
      <c r="R231" s="12">
        <v>100</v>
      </c>
      <c r="U231" s="10" t="s">
        <v>11</v>
      </c>
      <c r="V231" s="11">
        <v>30</v>
      </c>
      <c r="W231" s="11">
        <v>40</v>
      </c>
      <c r="X231" s="11">
        <v>50</v>
      </c>
      <c r="Y231" s="11">
        <v>60</v>
      </c>
      <c r="Z231" s="11">
        <v>70</v>
      </c>
      <c r="AA231" s="11">
        <v>80</v>
      </c>
      <c r="AB231" s="11">
        <v>90</v>
      </c>
      <c r="AC231" s="12">
        <v>100</v>
      </c>
    </row>
    <row r="232" spans="1:29" x14ac:dyDescent="0.25">
      <c r="A232" s="3" t="s">
        <v>5</v>
      </c>
      <c r="B232" s="24">
        <v>50</v>
      </c>
      <c r="C232" s="20">
        <v>90</v>
      </c>
      <c r="D232" s="3">
        <v>-1.6</v>
      </c>
      <c r="E232" s="3">
        <v>6</v>
      </c>
      <c r="F232" s="4">
        <v>1.1266974169677468</v>
      </c>
      <c r="G232" s="4">
        <v>-1.9189691334093975</v>
      </c>
      <c r="H232" s="4">
        <v>-1.9800995760739357</v>
      </c>
      <c r="J232" s="13">
        <v>30</v>
      </c>
      <c r="K232" s="31">
        <f>K205/(K205+K214)</f>
        <v>0.46762638465213513</v>
      </c>
      <c r="L232" s="31">
        <f t="shared" ref="L232:R232" si="80">L205/(L205+L214)</f>
        <v>0.48066030897935791</v>
      </c>
      <c r="M232" s="31">
        <f t="shared" si="80"/>
        <v>0.49402552921346493</v>
      </c>
      <c r="N232" s="31">
        <f t="shared" si="80"/>
        <v>0.50722041765286552</v>
      </c>
      <c r="O232" s="31">
        <f t="shared" si="80"/>
        <v>0.52038613346728935</v>
      </c>
      <c r="P232" s="31">
        <f t="shared" si="80"/>
        <v>0.53371442527202451</v>
      </c>
      <c r="Q232" s="31">
        <f t="shared" si="80"/>
        <v>0.54656339801094445</v>
      </c>
      <c r="R232" s="15">
        <f t="shared" si="80"/>
        <v>0.55697187968588369</v>
      </c>
      <c r="U232" s="13">
        <v>30</v>
      </c>
      <c r="V232" s="31">
        <v>0.46762638465213513</v>
      </c>
      <c r="W232" s="31">
        <v>0.48066030897935791</v>
      </c>
      <c r="X232" s="31">
        <v>0.49402552921346493</v>
      </c>
      <c r="Y232" s="31">
        <v>0.50722041765286552</v>
      </c>
      <c r="Z232" s="31">
        <v>0.52038613346728935</v>
      </c>
      <c r="AA232" s="31">
        <v>0.53371442527202451</v>
      </c>
      <c r="AB232" s="31">
        <v>0.54656339801094445</v>
      </c>
      <c r="AC232" s="15">
        <v>0.55697187968588369</v>
      </c>
    </row>
    <row r="233" spans="1:29" x14ac:dyDescent="0.25">
      <c r="A233" s="3" t="s">
        <v>5</v>
      </c>
      <c r="B233" s="24">
        <v>60</v>
      </c>
      <c r="C233" s="20">
        <v>90</v>
      </c>
      <c r="D233" s="3">
        <v>-1.6</v>
      </c>
      <c r="E233" s="3">
        <v>6</v>
      </c>
      <c r="F233" s="4">
        <v>1.117912242952122</v>
      </c>
      <c r="G233" s="4">
        <v>-1.6730107783096437</v>
      </c>
      <c r="H233" s="4">
        <v>-2.000220126973173</v>
      </c>
      <c r="J233" s="13">
        <v>40</v>
      </c>
      <c r="K233" s="31">
        <f t="shared" ref="K233:R233" si="81">K206/(K206+K215)</f>
        <v>0.43174575258743236</v>
      </c>
      <c r="L233" s="31">
        <f t="shared" si="81"/>
        <v>0.44479171676943635</v>
      </c>
      <c r="M233" s="31">
        <f t="shared" si="81"/>
        <v>0.45979451611249561</v>
      </c>
      <c r="N233" s="31">
        <f t="shared" si="81"/>
        <v>0.47551192011160592</v>
      </c>
      <c r="O233" s="31">
        <f t="shared" si="81"/>
        <v>0.49167630025831316</v>
      </c>
      <c r="P233" s="31">
        <f t="shared" si="81"/>
        <v>0.50846373503455411</v>
      </c>
      <c r="Q233" s="31">
        <f t="shared" si="81"/>
        <v>0.5253536851977989</v>
      </c>
      <c r="R233" s="15">
        <f t="shared" si="81"/>
        <v>0.54030809573559124</v>
      </c>
      <c r="U233" s="13">
        <v>40</v>
      </c>
      <c r="V233" s="31">
        <v>0.43174575258743236</v>
      </c>
      <c r="W233" s="31">
        <v>0.44479171676943635</v>
      </c>
      <c r="X233" s="31">
        <v>0.45979451611249561</v>
      </c>
      <c r="Y233" s="31">
        <v>0.47551192011160592</v>
      </c>
      <c r="Z233" s="31">
        <v>0.49167630025831316</v>
      </c>
      <c r="AA233" s="31">
        <v>0.50846373503455411</v>
      </c>
      <c r="AB233" s="31">
        <v>0.5253536851977989</v>
      </c>
      <c r="AC233" s="15">
        <v>0.54030809573559124</v>
      </c>
    </row>
    <row r="234" spans="1:29" x14ac:dyDescent="0.25">
      <c r="A234" s="3" t="s">
        <v>5</v>
      </c>
      <c r="B234" s="24">
        <v>70</v>
      </c>
      <c r="C234" s="20">
        <v>90</v>
      </c>
      <c r="D234" s="3">
        <v>-1.6</v>
      </c>
      <c r="E234" s="3">
        <v>6</v>
      </c>
      <c r="F234" s="4">
        <v>1.1070346678233336</v>
      </c>
      <c r="G234" s="4">
        <v>-1.4241271546490017</v>
      </c>
      <c r="H234" s="4">
        <v>-1.9984844859284052</v>
      </c>
      <c r="J234" s="13">
        <v>50</v>
      </c>
      <c r="K234" s="31">
        <f t="shared" ref="K234:R234" si="82">K207/(K207+K216)</f>
        <v>0.38420173673076441</v>
      </c>
      <c r="L234" s="31">
        <f t="shared" si="82"/>
        <v>0.39746361463389485</v>
      </c>
      <c r="M234" s="31">
        <f t="shared" si="82"/>
        <v>0.41497151343646205</v>
      </c>
      <c r="N234" s="31">
        <f t="shared" si="82"/>
        <v>0.43394341341921383</v>
      </c>
      <c r="O234" s="31">
        <f t="shared" si="82"/>
        <v>0.45311684839588778</v>
      </c>
      <c r="P234" s="31">
        <f t="shared" si="82"/>
        <v>0.4725379465714572</v>
      </c>
      <c r="Q234" s="31">
        <f t="shared" si="82"/>
        <v>0.49216089184119061</v>
      </c>
      <c r="R234" s="15">
        <f t="shared" si="82"/>
        <v>0.51051133968010254</v>
      </c>
      <c r="U234" s="13">
        <v>50</v>
      </c>
      <c r="V234" s="31">
        <v>0.38420173673076441</v>
      </c>
      <c r="W234" s="31">
        <v>0.39746361463389485</v>
      </c>
      <c r="X234" s="31">
        <v>0.41497151343646205</v>
      </c>
      <c r="Y234" s="31">
        <v>0.43394341341921383</v>
      </c>
      <c r="Z234" s="31">
        <v>0.45311684839588778</v>
      </c>
      <c r="AA234" s="31">
        <v>0.4725379465714572</v>
      </c>
      <c r="AB234" s="31">
        <v>0.49216089184119061</v>
      </c>
      <c r="AC234" s="15">
        <v>0.51051133968010254</v>
      </c>
    </row>
    <row r="235" spans="1:29" x14ac:dyDescent="0.25">
      <c r="A235" s="3" t="s">
        <v>5</v>
      </c>
      <c r="B235" s="24">
        <v>80</v>
      </c>
      <c r="C235" s="20">
        <v>90</v>
      </c>
      <c r="D235" s="3">
        <v>-1.6</v>
      </c>
      <c r="E235" s="3">
        <v>6</v>
      </c>
      <c r="F235" s="4">
        <v>1.0986507966822143</v>
      </c>
      <c r="G235" s="4">
        <v>-1.1869562133688702</v>
      </c>
      <c r="H235" s="4">
        <v>-1.9967295781081558</v>
      </c>
      <c r="J235" s="13">
        <v>60</v>
      </c>
      <c r="K235" s="31">
        <f t="shared" ref="K235:R235" si="83">K208/(K208+K217)</f>
        <v>0.33471548589673294</v>
      </c>
      <c r="L235" s="31">
        <f t="shared" si="83"/>
        <v>0.34774251158823388</v>
      </c>
      <c r="M235" s="31">
        <f t="shared" si="83"/>
        <v>0.36794204563730271</v>
      </c>
      <c r="N235" s="31">
        <f t="shared" si="83"/>
        <v>0.39046558295251088</v>
      </c>
      <c r="O235" s="31">
        <f t="shared" si="83"/>
        <v>0.41258876296858604</v>
      </c>
      <c r="P235" s="31">
        <f t="shared" si="83"/>
        <v>0.43407490535895715</v>
      </c>
      <c r="Q235" s="31">
        <f t="shared" si="83"/>
        <v>0.45546028045869114</v>
      </c>
      <c r="R235" s="15">
        <f t="shared" si="83"/>
        <v>0.47612239235106613</v>
      </c>
      <c r="U235" s="13">
        <v>60</v>
      </c>
      <c r="V235" s="31">
        <v>0.33471548589673294</v>
      </c>
      <c r="W235" s="31">
        <v>0.34774251158823388</v>
      </c>
      <c r="X235" s="31">
        <v>0.36794204563730271</v>
      </c>
      <c r="Y235" s="31">
        <v>0.39046558295251088</v>
      </c>
      <c r="Z235" s="31">
        <v>0.41258876296858604</v>
      </c>
      <c r="AA235" s="31">
        <v>0.43407490535895715</v>
      </c>
      <c r="AB235" s="31">
        <v>0.45546028045869114</v>
      </c>
      <c r="AC235" s="15">
        <v>0.47612239235106613</v>
      </c>
    </row>
    <row r="236" spans="1:29" x14ac:dyDescent="0.25">
      <c r="A236" s="3" t="s">
        <v>5</v>
      </c>
      <c r="B236" s="24">
        <v>30</v>
      </c>
      <c r="C236" s="20">
        <v>100</v>
      </c>
      <c r="D236" s="3">
        <v>-1.6</v>
      </c>
      <c r="E236" s="3">
        <v>6</v>
      </c>
      <c r="F236" s="4">
        <v>1.1341959036208045</v>
      </c>
      <c r="G236" s="4">
        <v>-2.3130960411525363</v>
      </c>
      <c r="H236" s="4">
        <v>-1.8398892809377947</v>
      </c>
      <c r="J236" s="13">
        <v>70</v>
      </c>
      <c r="K236" s="31">
        <f t="shared" ref="K236:R236" si="84">K209/(K209+K218)</f>
        <v>0.29729176638171168</v>
      </c>
      <c r="L236" s="31">
        <f t="shared" si="84"/>
        <v>0.30642111242739156</v>
      </c>
      <c r="M236" s="31">
        <f t="shared" si="84"/>
        <v>0.32532458764289857</v>
      </c>
      <c r="N236" s="31">
        <f t="shared" si="84"/>
        <v>0.34809229398052216</v>
      </c>
      <c r="O236" s="31">
        <f t="shared" si="84"/>
        <v>0.37096322752905175</v>
      </c>
      <c r="P236" s="31">
        <f t="shared" si="84"/>
        <v>0.39337033879901301</v>
      </c>
      <c r="Q236" s="31">
        <f t="shared" si="84"/>
        <v>0.41609370393210793</v>
      </c>
      <c r="R236" s="15">
        <f t="shared" si="84"/>
        <v>0.43895882653121387</v>
      </c>
      <c r="U236" s="13">
        <v>70</v>
      </c>
      <c r="V236" s="31">
        <v>0.29729176638171168</v>
      </c>
      <c r="W236" s="31">
        <v>0.30642111242739156</v>
      </c>
      <c r="X236" s="31">
        <v>0.32532458764289857</v>
      </c>
      <c r="Y236" s="31">
        <v>0.34809229398052216</v>
      </c>
      <c r="Z236" s="31">
        <v>0.37096322752905175</v>
      </c>
      <c r="AA236" s="31">
        <v>0.39337033879901301</v>
      </c>
      <c r="AB236" s="31">
        <v>0.41609370393210793</v>
      </c>
      <c r="AC236" s="15">
        <v>0.43895882653121387</v>
      </c>
    </row>
    <row r="237" spans="1:29" ht="15.75" thickBot="1" x14ac:dyDescent="0.3">
      <c r="A237" s="3" t="s">
        <v>5</v>
      </c>
      <c r="B237" s="24">
        <v>40</v>
      </c>
      <c r="C237" s="20">
        <v>100</v>
      </c>
      <c r="D237" s="3">
        <v>-1.6</v>
      </c>
      <c r="E237" s="3">
        <v>6</v>
      </c>
      <c r="F237" s="4">
        <v>1.1404102061617929</v>
      </c>
      <c r="G237" s="4">
        <v>-2.1846848391760187</v>
      </c>
      <c r="H237" s="4">
        <v>-1.8587208703048379</v>
      </c>
      <c r="J237" s="16">
        <v>80</v>
      </c>
      <c r="K237" s="17">
        <f t="shared" ref="K237:R237" si="85">K210/(K210+K219)</f>
        <v>0.28485728524473175</v>
      </c>
      <c r="L237" s="17">
        <f t="shared" si="85"/>
        <v>0.28436522741658621</v>
      </c>
      <c r="M237" s="17">
        <f t="shared" si="85"/>
        <v>0.29395280286387365</v>
      </c>
      <c r="N237" s="17">
        <f t="shared" si="85"/>
        <v>0.30955677385045416</v>
      </c>
      <c r="O237" s="17">
        <f t="shared" si="85"/>
        <v>0.32819336245253644</v>
      </c>
      <c r="P237" s="17">
        <f t="shared" si="85"/>
        <v>0.34918989261941702</v>
      </c>
      <c r="Q237" s="17">
        <f t="shared" si="85"/>
        <v>0.37282454711656665</v>
      </c>
      <c r="R237" s="18">
        <f t="shared" si="85"/>
        <v>0.3983834778594853</v>
      </c>
      <c r="U237" s="16">
        <v>80</v>
      </c>
      <c r="V237" s="17">
        <v>0.28485728524473175</v>
      </c>
      <c r="W237" s="17">
        <v>0.28436522741658621</v>
      </c>
      <c r="X237" s="17">
        <v>0.29395280286387365</v>
      </c>
      <c r="Y237" s="17">
        <v>0.30955677385045416</v>
      </c>
      <c r="Z237" s="17">
        <v>0.32819336245253644</v>
      </c>
      <c r="AA237" s="17">
        <v>0.34918989261941702</v>
      </c>
      <c r="AB237" s="17">
        <v>0.37282454711656665</v>
      </c>
      <c r="AC237" s="18">
        <v>0.3983834778594853</v>
      </c>
    </row>
    <row r="238" spans="1:29" x14ac:dyDescent="0.25">
      <c r="A238" s="3" t="s">
        <v>5</v>
      </c>
      <c r="B238" s="24">
        <v>50</v>
      </c>
      <c r="C238" s="20">
        <v>100</v>
      </c>
      <c r="D238" s="3">
        <v>-1.6</v>
      </c>
      <c r="E238" s="3">
        <v>6</v>
      </c>
      <c r="F238" s="4">
        <v>1.1382876134324822</v>
      </c>
      <c r="G238" s="4">
        <v>-1.9805208749038288</v>
      </c>
      <c r="H238" s="4">
        <v>-1.8989637143020961</v>
      </c>
    </row>
    <row r="239" spans="1:29" x14ac:dyDescent="0.25">
      <c r="A239" s="3" t="s">
        <v>5</v>
      </c>
      <c r="B239" s="24">
        <v>60</v>
      </c>
      <c r="C239" s="20">
        <v>100</v>
      </c>
      <c r="D239" s="3">
        <v>-1.6</v>
      </c>
      <c r="E239" s="3">
        <v>6</v>
      </c>
      <c r="F239" s="4">
        <v>1.1284317135942121</v>
      </c>
      <c r="G239" s="4">
        <v>-1.7535300022054581</v>
      </c>
      <c r="H239" s="4">
        <v>-1.9294095746260864</v>
      </c>
    </row>
    <row r="240" spans="1:29" x14ac:dyDescent="0.25">
      <c r="A240" s="3" t="s">
        <v>5</v>
      </c>
      <c r="B240" s="24">
        <v>70</v>
      </c>
      <c r="C240" s="20">
        <v>100</v>
      </c>
      <c r="D240" s="3">
        <v>-1.6</v>
      </c>
      <c r="E240" s="3">
        <v>6</v>
      </c>
      <c r="F240" s="4">
        <v>1.1155243815528701</v>
      </c>
      <c r="G240" s="4">
        <v>-1.5193676956234636</v>
      </c>
      <c r="H240" s="4">
        <v>-1.941931186620161</v>
      </c>
    </row>
    <row r="241" spans="1:29" ht="15.75" thickBot="1" x14ac:dyDescent="0.3">
      <c r="A241" s="3" t="s">
        <v>5</v>
      </c>
      <c r="B241" s="24">
        <v>80</v>
      </c>
      <c r="C241" s="20">
        <v>100</v>
      </c>
      <c r="D241" s="3">
        <v>-1.6</v>
      </c>
      <c r="E241" s="3">
        <v>6</v>
      </c>
      <c r="F241" s="4">
        <v>1.1049875916753289</v>
      </c>
      <c r="G241" s="4">
        <v>-1.2937714015757429</v>
      </c>
      <c r="H241" s="4">
        <v>-1.9537814551018924</v>
      </c>
      <c r="J241" s="29" t="s">
        <v>19</v>
      </c>
      <c r="K241" s="30" t="s">
        <v>20</v>
      </c>
      <c r="U241" s="29" t="s">
        <v>19</v>
      </c>
      <c r="V241" s="30" t="s">
        <v>20</v>
      </c>
    </row>
    <row r="242" spans="1:29" x14ac:dyDescent="0.25">
      <c r="A242" t="s">
        <v>5</v>
      </c>
      <c r="B242" s="24">
        <v>30</v>
      </c>
      <c r="C242" s="20">
        <v>30</v>
      </c>
      <c r="D242">
        <v>1.6</v>
      </c>
      <c r="E242">
        <v>-6</v>
      </c>
      <c r="F242" s="1">
        <v>1.0499245477165999</v>
      </c>
      <c r="G242" s="1">
        <v>-1.7738681270971852</v>
      </c>
      <c r="H242" s="1">
        <v>-2.1753036432530761</v>
      </c>
      <c r="J242" s="5" t="s">
        <v>9</v>
      </c>
      <c r="K242" s="6" t="s">
        <v>10</v>
      </c>
      <c r="L242" s="7"/>
      <c r="M242" s="8"/>
      <c r="N242" s="8"/>
      <c r="O242" s="8"/>
      <c r="P242" s="8"/>
      <c r="Q242" s="8"/>
      <c r="R242" s="9"/>
      <c r="U242" s="5" t="s">
        <v>9</v>
      </c>
      <c r="V242" s="6" t="s">
        <v>10</v>
      </c>
      <c r="W242" s="7"/>
      <c r="X242" s="8"/>
      <c r="Y242" s="8"/>
      <c r="Z242" s="8"/>
      <c r="AA242" s="8"/>
      <c r="AB242" s="8"/>
      <c r="AC242" s="9"/>
    </row>
    <row r="243" spans="1:29" x14ac:dyDescent="0.25">
      <c r="A243" t="s">
        <v>5</v>
      </c>
      <c r="B243" s="24">
        <v>40</v>
      </c>
      <c r="C243" s="20">
        <v>30</v>
      </c>
      <c r="D243">
        <v>1.6</v>
      </c>
      <c r="E243">
        <v>-6</v>
      </c>
      <c r="F243" s="1">
        <v>1.0488644488963976</v>
      </c>
      <c r="G243" s="1">
        <v>-1.5428404328397489</v>
      </c>
      <c r="H243" s="1">
        <v>-2.1181680234196092</v>
      </c>
      <c r="J243" s="10" t="s">
        <v>11</v>
      </c>
      <c r="K243" s="11">
        <v>30</v>
      </c>
      <c r="L243" s="11">
        <v>40</v>
      </c>
      <c r="M243" s="11">
        <v>50</v>
      </c>
      <c r="N243" s="11">
        <v>60</v>
      </c>
      <c r="O243" s="11">
        <v>70</v>
      </c>
      <c r="P243" s="11">
        <v>80</v>
      </c>
      <c r="Q243" s="11">
        <v>90</v>
      </c>
      <c r="R243" s="12">
        <v>100</v>
      </c>
      <c r="U243" s="10" t="s">
        <v>11</v>
      </c>
      <c r="V243" s="11">
        <v>30</v>
      </c>
      <c r="W243" s="11">
        <v>40</v>
      </c>
      <c r="X243" s="11">
        <v>50</v>
      </c>
      <c r="Y243" s="11">
        <v>60</v>
      </c>
      <c r="Z243" s="11">
        <v>70</v>
      </c>
      <c r="AA243" s="11">
        <v>80</v>
      </c>
      <c r="AB243" s="11">
        <v>90</v>
      </c>
      <c r="AC243" s="12">
        <v>100</v>
      </c>
    </row>
    <row r="244" spans="1:29" x14ac:dyDescent="0.25">
      <c r="A244" t="s">
        <v>5</v>
      </c>
      <c r="B244" s="24">
        <v>50</v>
      </c>
      <c r="C244" s="20">
        <v>30</v>
      </c>
      <c r="D244">
        <v>1.6</v>
      </c>
      <c r="E244">
        <v>-6</v>
      </c>
      <c r="F244" s="1">
        <v>1.0382984039878549</v>
      </c>
      <c r="G244" s="1">
        <v>-1.2532602937816297</v>
      </c>
      <c r="H244" s="1">
        <v>-1.9998541946677784</v>
      </c>
      <c r="J244" s="13">
        <v>30</v>
      </c>
      <c r="K244" s="14">
        <f>F242</f>
        <v>1.0499245477165999</v>
      </c>
      <c r="L244" s="14">
        <f>F248</f>
        <v>1.0657315013733855</v>
      </c>
      <c r="M244" s="14">
        <f>F254</f>
        <v>1.0804703943773042</v>
      </c>
      <c r="N244" s="14">
        <f>F260</f>
        <v>1.0921497612403681</v>
      </c>
      <c r="O244" s="14">
        <f>F266</f>
        <v>1.1008340794075433</v>
      </c>
      <c r="P244" s="14">
        <f>F272</f>
        <v>1.1081015535942442</v>
      </c>
      <c r="Q244" s="14">
        <f>F278</f>
        <v>1.1154027477145145</v>
      </c>
      <c r="R244" s="15">
        <f>F284</f>
        <v>1.122575448923929</v>
      </c>
      <c r="U244" s="13">
        <v>30</v>
      </c>
      <c r="V244" s="14">
        <v>1.0499245477165999</v>
      </c>
      <c r="W244" s="14">
        <v>1.0657315013733855</v>
      </c>
      <c r="X244" s="14">
        <v>1.0804703943773042</v>
      </c>
      <c r="Y244" s="14">
        <v>1.0921497612403681</v>
      </c>
      <c r="Z244" s="14">
        <v>1.1008340794075433</v>
      </c>
      <c r="AA244" s="14">
        <v>1.1081015535942442</v>
      </c>
      <c r="AB244" s="14">
        <v>1.1154027477145145</v>
      </c>
      <c r="AC244" s="15">
        <v>1.122575448923929</v>
      </c>
    </row>
    <row r="245" spans="1:29" x14ac:dyDescent="0.25">
      <c r="A245" t="s">
        <v>5</v>
      </c>
      <c r="B245" s="24">
        <v>60</v>
      </c>
      <c r="C245" s="20">
        <v>30</v>
      </c>
      <c r="D245">
        <v>1.6</v>
      </c>
      <c r="E245">
        <v>-6</v>
      </c>
      <c r="F245" s="1">
        <v>1.0239867637526647</v>
      </c>
      <c r="G245" s="1">
        <v>-0.98561741355300714</v>
      </c>
      <c r="H245" s="1">
        <v>-1.8729735552305165</v>
      </c>
      <c r="J245" s="13">
        <v>40</v>
      </c>
      <c r="K245" s="14">
        <f>F243</f>
        <v>1.0488644488963976</v>
      </c>
      <c r="L245" s="14">
        <f>F249</f>
        <v>1.0680446119271327</v>
      </c>
      <c r="M245" s="14">
        <f>F255</f>
        <v>1.0850087834495146</v>
      </c>
      <c r="N245" s="14">
        <f t="shared" ref="N245:N248" si="86">F261</f>
        <v>1.0976008466890625</v>
      </c>
      <c r="O245" s="14">
        <f>F267</f>
        <v>1.106524740344079</v>
      </c>
      <c r="P245" s="14">
        <f>F273</f>
        <v>1.1143564053240531</v>
      </c>
      <c r="Q245" s="14">
        <f>F279</f>
        <v>1.1232128721995631</v>
      </c>
      <c r="R245" s="15">
        <f>F285</f>
        <v>1.1328145255569708</v>
      </c>
      <c r="U245" s="13">
        <v>40</v>
      </c>
      <c r="V245" s="14">
        <v>1.0488644488963976</v>
      </c>
      <c r="W245" s="14">
        <v>1.0680446119271327</v>
      </c>
      <c r="X245" s="14">
        <v>1.0850087834495146</v>
      </c>
      <c r="Y245" s="14">
        <v>1.0976008466890625</v>
      </c>
      <c r="Z245" s="14">
        <v>1.106524740344079</v>
      </c>
      <c r="AA245" s="14">
        <v>1.1143564053240531</v>
      </c>
      <c r="AB245" s="14">
        <v>1.1232128721995631</v>
      </c>
      <c r="AC245" s="15">
        <v>1.1328145255569708</v>
      </c>
    </row>
    <row r="246" spans="1:29" x14ac:dyDescent="0.25">
      <c r="A246" t="s">
        <v>5</v>
      </c>
      <c r="B246" s="24">
        <v>70</v>
      </c>
      <c r="C246" s="20">
        <v>30</v>
      </c>
      <c r="D246">
        <v>1.6</v>
      </c>
      <c r="E246">
        <v>-6</v>
      </c>
      <c r="F246" s="1">
        <v>1.0171225554145582</v>
      </c>
      <c r="G246" s="1">
        <v>-0.80538691616204039</v>
      </c>
      <c r="H246" s="1">
        <v>-1.7913462233968354</v>
      </c>
      <c r="J246" s="13">
        <v>50</v>
      </c>
      <c r="K246" s="14">
        <f>F244</f>
        <v>1.0382984039878549</v>
      </c>
      <c r="L246" s="14">
        <f>F250</f>
        <v>1.0597149319371495</v>
      </c>
      <c r="M246" s="14">
        <f>F256</f>
        <v>1.0790453283968542</v>
      </c>
      <c r="N246" s="14">
        <f t="shared" si="86"/>
        <v>1.0938576410283096</v>
      </c>
      <c r="O246" s="14">
        <f>F268</f>
        <v>1.1048709303461712</v>
      </c>
      <c r="P246" s="14">
        <f>F274</f>
        <v>1.1148040117715925</v>
      </c>
      <c r="Q246" s="14">
        <f>F280</f>
        <v>1.1257973678258468</v>
      </c>
      <c r="R246" s="15">
        <f>F286</f>
        <v>1.1373520049649892</v>
      </c>
      <c r="U246" s="13">
        <v>50</v>
      </c>
      <c r="V246" s="14">
        <v>1.0382984039878549</v>
      </c>
      <c r="W246" s="14">
        <v>1.0597149319371495</v>
      </c>
      <c r="X246" s="14">
        <v>1.0790453283968542</v>
      </c>
      <c r="Y246" s="14">
        <v>1.0938576410283096</v>
      </c>
      <c r="Z246" s="14">
        <v>1.1048709303461712</v>
      </c>
      <c r="AA246" s="14">
        <v>1.1148040117715925</v>
      </c>
      <c r="AB246" s="14">
        <v>1.1257973678258468</v>
      </c>
      <c r="AC246" s="15">
        <v>1.1373520049649892</v>
      </c>
    </row>
    <row r="247" spans="1:29" x14ac:dyDescent="0.25">
      <c r="A247" t="s">
        <v>5</v>
      </c>
      <c r="B247" s="24">
        <v>80</v>
      </c>
      <c r="C247" s="20">
        <v>30</v>
      </c>
      <c r="D247">
        <v>1.6</v>
      </c>
      <c r="E247">
        <v>-6</v>
      </c>
      <c r="F247" s="1">
        <v>1.0234734203006859</v>
      </c>
      <c r="G247" s="1">
        <v>-0.74466005602192609</v>
      </c>
      <c r="H247" s="1">
        <v>-1.7725346228026684</v>
      </c>
      <c r="J247" s="13">
        <v>60</v>
      </c>
      <c r="K247" s="14">
        <f>F245</f>
        <v>1.0239867637526647</v>
      </c>
      <c r="L247" s="14">
        <f>F251</f>
        <v>1.0458317749051904</v>
      </c>
      <c r="M247" s="14">
        <f>F257</f>
        <v>1.0668221066658283</v>
      </c>
      <c r="N247" s="14">
        <f>F263</f>
        <v>1.0842287349147131</v>
      </c>
      <c r="O247" s="14">
        <f>F269</f>
        <v>1.0981752826354212</v>
      </c>
      <c r="P247" s="14">
        <f>F275</f>
        <v>1.1106642853171449</v>
      </c>
      <c r="Q247" s="14">
        <f>F281</f>
        <v>1.1232703338702672</v>
      </c>
      <c r="R247" s="15">
        <f>F287</f>
        <v>1.1353080445468553</v>
      </c>
      <c r="U247" s="13">
        <v>60</v>
      </c>
      <c r="V247" s="14">
        <v>1.0239867637526647</v>
      </c>
      <c r="W247" s="14">
        <v>1.0458317749051904</v>
      </c>
      <c r="X247" s="14">
        <v>1.0668221066658283</v>
      </c>
      <c r="Y247" s="14">
        <v>1.0842287349147131</v>
      </c>
      <c r="Z247" s="14">
        <v>1.0981752826354212</v>
      </c>
      <c r="AA247" s="14">
        <v>1.1106642853171449</v>
      </c>
      <c r="AB247" s="14">
        <v>1.1232703338702672</v>
      </c>
      <c r="AC247" s="15">
        <v>1.1353080445468553</v>
      </c>
    </row>
    <row r="248" spans="1:29" x14ac:dyDescent="0.25">
      <c r="A248" t="s">
        <v>5</v>
      </c>
      <c r="B248" s="24">
        <v>30</v>
      </c>
      <c r="C248" s="20">
        <v>40</v>
      </c>
      <c r="D248">
        <v>1.6</v>
      </c>
      <c r="E248">
        <v>-6</v>
      </c>
      <c r="F248" s="1">
        <v>1.0657315013733855</v>
      </c>
      <c r="G248" s="1">
        <v>-1.9086166055563734</v>
      </c>
      <c r="H248" s="1">
        <v>-2.2369234168584495</v>
      </c>
      <c r="J248" s="13">
        <v>70</v>
      </c>
      <c r="K248" s="14">
        <f>F246</f>
        <v>1.0171225554145582</v>
      </c>
      <c r="L248" s="14">
        <f>F252</f>
        <v>1.0375973926249358</v>
      </c>
      <c r="M248" s="14">
        <f>F258</f>
        <v>1.0585489619875208</v>
      </c>
      <c r="N248" s="14">
        <f t="shared" si="86"/>
        <v>1.0771442675305354</v>
      </c>
      <c r="O248" s="14">
        <f>F270</f>
        <v>1.0927452490152987</v>
      </c>
      <c r="P248" s="14">
        <f>F276</f>
        <v>1.1062982187376906</v>
      </c>
      <c r="Q248" s="14">
        <f>F282</f>
        <v>1.1186185399945512</v>
      </c>
      <c r="R248" s="15">
        <f>F288</f>
        <v>1.1289994652476674</v>
      </c>
      <c r="U248" s="13">
        <v>70</v>
      </c>
      <c r="V248" s="14">
        <v>1.0171225554145582</v>
      </c>
      <c r="W248" s="14">
        <v>1.0375973926249358</v>
      </c>
      <c r="X248" s="14">
        <v>1.0585489619875208</v>
      </c>
      <c r="Y248" s="14">
        <v>1.0771442675305354</v>
      </c>
      <c r="Z248" s="14">
        <v>1.0927452490152987</v>
      </c>
      <c r="AA248" s="14">
        <v>1.1062982187376906</v>
      </c>
      <c r="AB248" s="14">
        <v>1.1186185399945512</v>
      </c>
      <c r="AC248" s="15">
        <v>1.1289994652476674</v>
      </c>
    </row>
    <row r="249" spans="1:29" ht="15.75" thickBot="1" x14ac:dyDescent="0.3">
      <c r="A249" t="s">
        <v>5</v>
      </c>
      <c r="B249" s="24">
        <v>40</v>
      </c>
      <c r="C249" s="20">
        <v>40</v>
      </c>
      <c r="D249">
        <v>1.6</v>
      </c>
      <c r="E249">
        <v>-6</v>
      </c>
      <c r="F249" s="1">
        <v>1.0680446119271327</v>
      </c>
      <c r="G249" s="1">
        <v>-1.6672549024884489</v>
      </c>
      <c r="H249" s="1">
        <v>-2.1934966568207601</v>
      </c>
      <c r="J249" s="16">
        <v>80</v>
      </c>
      <c r="K249" s="17">
        <f>F247</f>
        <v>1.0234734203006859</v>
      </c>
      <c r="L249" s="17">
        <f>F253</f>
        <v>1.0412963730678084</v>
      </c>
      <c r="M249" s="17">
        <f>F259</f>
        <v>1.06018379534576</v>
      </c>
      <c r="N249" s="17">
        <f>F265</f>
        <v>1.0775409320561173</v>
      </c>
      <c r="O249" s="17">
        <f>F271</f>
        <v>1.0922630806067677</v>
      </c>
      <c r="P249" s="17">
        <f>F277</f>
        <v>1.1044575407414436</v>
      </c>
      <c r="Q249" s="17">
        <f>F283</f>
        <v>1.1143536377772034</v>
      </c>
      <c r="R249" s="18">
        <f>F289</f>
        <v>1.1213843685525648</v>
      </c>
      <c r="U249" s="16">
        <v>80</v>
      </c>
      <c r="V249" s="17">
        <v>1.0234734203006859</v>
      </c>
      <c r="W249" s="17">
        <v>1.0412963730678084</v>
      </c>
      <c r="X249" s="17">
        <v>1.06018379534576</v>
      </c>
      <c r="Y249" s="17">
        <v>1.0775409320561173</v>
      </c>
      <c r="Z249" s="17">
        <v>1.0922630806067677</v>
      </c>
      <c r="AA249" s="17">
        <v>1.1044575407414436</v>
      </c>
      <c r="AB249" s="17">
        <v>1.1143536377772034</v>
      </c>
      <c r="AC249" s="18">
        <v>1.1213843685525648</v>
      </c>
    </row>
    <row r="250" spans="1:29" ht="15.75" thickBot="1" x14ac:dyDescent="0.3">
      <c r="A250" t="s">
        <v>5</v>
      </c>
      <c r="B250" s="24">
        <v>50</v>
      </c>
      <c r="C250" s="20">
        <v>40</v>
      </c>
      <c r="D250">
        <v>1.6</v>
      </c>
      <c r="E250">
        <v>-6</v>
      </c>
      <c r="F250" s="1">
        <v>1.0597149319371495</v>
      </c>
      <c r="G250" s="1">
        <v>-1.3628158821837961</v>
      </c>
      <c r="H250" s="1">
        <v>-2.0855879140474807</v>
      </c>
    </row>
    <row r="251" spans="1:29" x14ac:dyDescent="0.25">
      <c r="A251" t="s">
        <v>5</v>
      </c>
      <c r="B251" s="24">
        <v>60</v>
      </c>
      <c r="C251" s="20">
        <v>40</v>
      </c>
      <c r="D251">
        <v>1.6</v>
      </c>
      <c r="E251">
        <v>-6</v>
      </c>
      <c r="F251" s="1">
        <v>1.0458317749051904</v>
      </c>
      <c r="G251" s="1">
        <v>-1.0767510119305082</v>
      </c>
      <c r="H251" s="1">
        <v>-1.9606823735131127</v>
      </c>
      <c r="J251" s="5" t="s">
        <v>12</v>
      </c>
      <c r="K251" s="6" t="s">
        <v>10</v>
      </c>
      <c r="L251" s="7"/>
      <c r="M251" s="8"/>
      <c r="N251" s="8"/>
      <c r="O251" s="8"/>
      <c r="P251" s="8"/>
      <c r="Q251" s="8"/>
      <c r="R251" s="9"/>
      <c r="U251" s="5" t="s">
        <v>12</v>
      </c>
      <c r="V251" s="6" t="s">
        <v>10</v>
      </c>
      <c r="W251" s="7"/>
      <c r="X251" s="8"/>
      <c r="Y251" s="8"/>
      <c r="Z251" s="8"/>
      <c r="AA251" s="8"/>
      <c r="AB251" s="8"/>
      <c r="AC251" s="9"/>
    </row>
    <row r="252" spans="1:29" x14ac:dyDescent="0.25">
      <c r="A252" t="s">
        <v>5</v>
      </c>
      <c r="B252" s="24">
        <v>70</v>
      </c>
      <c r="C252" s="20">
        <v>40</v>
      </c>
      <c r="D252">
        <v>1.6</v>
      </c>
      <c r="E252">
        <v>-6</v>
      </c>
      <c r="F252" s="1">
        <v>1.0375973926249358</v>
      </c>
      <c r="G252" s="1">
        <v>-0.8668071401979891</v>
      </c>
      <c r="H252" s="1">
        <v>-1.8710769559925073</v>
      </c>
      <c r="J252" s="10" t="s">
        <v>11</v>
      </c>
      <c r="K252" s="11">
        <v>30</v>
      </c>
      <c r="L252" s="11">
        <v>40</v>
      </c>
      <c r="M252" s="11">
        <v>50</v>
      </c>
      <c r="N252" s="11">
        <v>60</v>
      </c>
      <c r="O252" s="11">
        <v>70</v>
      </c>
      <c r="P252" s="11">
        <v>80</v>
      </c>
      <c r="Q252" s="11">
        <v>90</v>
      </c>
      <c r="R252" s="12">
        <v>100</v>
      </c>
      <c r="U252" s="10" t="s">
        <v>11</v>
      </c>
      <c r="V252" s="11">
        <v>30</v>
      </c>
      <c r="W252" s="11">
        <v>40</v>
      </c>
      <c r="X252" s="11">
        <v>50</v>
      </c>
      <c r="Y252" s="11">
        <v>60</v>
      </c>
      <c r="Z252" s="11">
        <v>70</v>
      </c>
      <c r="AA252" s="11">
        <v>80</v>
      </c>
      <c r="AB252" s="11">
        <v>90</v>
      </c>
      <c r="AC252" s="12">
        <v>100</v>
      </c>
    </row>
    <row r="253" spans="1:29" x14ac:dyDescent="0.25">
      <c r="A253" t="s">
        <v>5</v>
      </c>
      <c r="B253" s="24">
        <v>80</v>
      </c>
      <c r="C253" s="20">
        <v>40</v>
      </c>
      <c r="D253">
        <v>1.6</v>
      </c>
      <c r="E253">
        <v>-6</v>
      </c>
      <c r="F253" s="1">
        <v>1.0412963730678084</v>
      </c>
      <c r="G253" s="1">
        <v>-0.7631709942477487</v>
      </c>
      <c r="H253" s="1">
        <v>-1.8375795153059802</v>
      </c>
      <c r="J253" s="13">
        <v>30</v>
      </c>
      <c r="K253" s="14">
        <f>G242</f>
        <v>-1.7738681270971852</v>
      </c>
      <c r="L253" s="14">
        <f>G248</f>
        <v>-1.9086166055563734</v>
      </c>
      <c r="M253" s="14">
        <f>G254</f>
        <v>-2.0532599329864882</v>
      </c>
      <c r="N253" s="14">
        <f>G260</f>
        <v>-2.1908223428184241</v>
      </c>
      <c r="O253" s="14">
        <f>G266</f>
        <v>-2.3030729788351909</v>
      </c>
      <c r="P253" s="14">
        <f>G272</f>
        <v>-2.374677835211676</v>
      </c>
      <c r="Q253" s="14">
        <f>G278</f>
        <v>-2.3962945197351289</v>
      </c>
      <c r="R253" s="15">
        <f>G284</f>
        <v>-2.36591017994557</v>
      </c>
      <c r="U253" s="13">
        <v>30</v>
      </c>
      <c r="V253" s="14">
        <v>1.7738681270971852</v>
      </c>
      <c r="W253" s="14">
        <v>1.9086166055563734</v>
      </c>
      <c r="X253" s="14">
        <v>2.0532599329864882</v>
      </c>
      <c r="Y253" s="14">
        <v>2.1908223428184241</v>
      </c>
      <c r="Z253" s="14">
        <v>2.3030729788351909</v>
      </c>
      <c r="AA253" s="14">
        <v>2.374677835211676</v>
      </c>
      <c r="AB253" s="14">
        <v>2.3962945197351289</v>
      </c>
      <c r="AC253" s="15">
        <v>2.36591017994557</v>
      </c>
    </row>
    <row r="254" spans="1:29" x14ac:dyDescent="0.25">
      <c r="A254" t="s">
        <v>5</v>
      </c>
      <c r="B254" s="24">
        <v>30</v>
      </c>
      <c r="C254" s="20">
        <v>50</v>
      </c>
      <c r="D254">
        <v>1.6</v>
      </c>
      <c r="E254">
        <v>-6</v>
      </c>
      <c r="F254" s="1">
        <v>1.0804703943773042</v>
      </c>
      <c r="G254" s="1">
        <v>-2.0532599329864882</v>
      </c>
      <c r="H254" s="1">
        <v>-2.2457734417425517</v>
      </c>
      <c r="J254" s="13">
        <v>40</v>
      </c>
      <c r="K254" s="14">
        <f t="shared" ref="K254:K258" si="87">G243</f>
        <v>-1.5428404328397489</v>
      </c>
      <c r="L254" s="14">
        <f t="shared" ref="L254:L255" si="88">G249</f>
        <v>-1.6672549024884489</v>
      </c>
      <c r="M254" s="14">
        <f>G255</f>
        <v>-1.8059986950178837</v>
      </c>
      <c r="N254" s="14">
        <f>G261</f>
        <v>-1.941259775766464</v>
      </c>
      <c r="O254" s="14">
        <f t="shared" ref="O254:O258" si="89">G267</f>
        <v>-2.0564275374965924</v>
      </c>
      <c r="P254" s="14">
        <f t="shared" ref="P254:P258" si="90">G273</f>
        <v>-2.139356133793199</v>
      </c>
      <c r="Q254" s="14">
        <f>G279</f>
        <v>-2.1831574674516543</v>
      </c>
      <c r="R254" s="15">
        <f>G285</f>
        <v>-2.1854331332503172</v>
      </c>
      <c r="U254" s="13">
        <v>40</v>
      </c>
      <c r="V254" s="14">
        <v>1.5428404328397489</v>
      </c>
      <c r="W254" s="14">
        <v>1.6672549024884489</v>
      </c>
      <c r="X254" s="14">
        <v>1.8059986950178837</v>
      </c>
      <c r="Y254" s="14">
        <v>1.941259775766464</v>
      </c>
      <c r="Z254" s="14">
        <v>2.0564275374965924</v>
      </c>
      <c r="AA254" s="14">
        <v>2.139356133793199</v>
      </c>
      <c r="AB254" s="14">
        <v>2.1831574674516543</v>
      </c>
      <c r="AC254" s="15">
        <v>2.1854331332503172</v>
      </c>
    </row>
    <row r="255" spans="1:29" x14ac:dyDescent="0.25">
      <c r="A255" t="s">
        <v>5</v>
      </c>
      <c r="B255" s="24">
        <v>40</v>
      </c>
      <c r="C255" s="20">
        <v>50</v>
      </c>
      <c r="D255">
        <v>1.6</v>
      </c>
      <c r="E255">
        <v>-6</v>
      </c>
      <c r="F255" s="1">
        <v>1.0850087834495146</v>
      </c>
      <c r="G255" s="1">
        <v>-1.8059986950178837</v>
      </c>
      <c r="H255" s="1">
        <v>-2.2192774906312538</v>
      </c>
      <c r="J255" s="13">
        <v>50</v>
      </c>
      <c r="K255" s="14">
        <f t="shared" si="87"/>
        <v>-1.2532602937816297</v>
      </c>
      <c r="L255" s="14">
        <f>G250</f>
        <v>-1.3628158821837961</v>
      </c>
      <c r="M255" s="14">
        <f>G256</f>
        <v>-1.4922640951420527</v>
      </c>
      <c r="N255" s="14">
        <f>G262</f>
        <v>-1.6221068642088943</v>
      </c>
      <c r="O255" s="14">
        <f t="shared" si="89"/>
        <v>-1.7368371125274353</v>
      </c>
      <c r="P255" s="14">
        <f t="shared" si="90"/>
        <v>-1.8276892254357899</v>
      </c>
      <c r="Q255" s="14">
        <f>G280</f>
        <v>-1.8911290971619477</v>
      </c>
      <c r="R255" s="15">
        <f>G286</f>
        <v>-1.925614842989031</v>
      </c>
      <c r="U255" s="13">
        <v>50</v>
      </c>
      <c r="V255" s="14">
        <v>1.2532602937816297</v>
      </c>
      <c r="W255" s="14">
        <v>1.3628158821837961</v>
      </c>
      <c r="X255" s="14">
        <v>1.4922640951420527</v>
      </c>
      <c r="Y255" s="14">
        <v>1.6221068642088943</v>
      </c>
      <c r="Z255" s="14">
        <v>1.7368371125274353</v>
      </c>
      <c r="AA255" s="14">
        <v>1.8276892254357899</v>
      </c>
      <c r="AB255" s="14">
        <v>1.8911290971619477</v>
      </c>
      <c r="AC255" s="15">
        <v>1.925614842989031</v>
      </c>
    </row>
    <row r="256" spans="1:29" x14ac:dyDescent="0.25">
      <c r="A256" t="s">
        <v>5</v>
      </c>
      <c r="B256" s="24">
        <v>50</v>
      </c>
      <c r="C256" s="20">
        <v>50</v>
      </c>
      <c r="D256">
        <v>1.6</v>
      </c>
      <c r="E256">
        <v>-6</v>
      </c>
      <c r="F256" s="1">
        <v>1.0790453283968542</v>
      </c>
      <c r="G256" s="1">
        <v>-1.4922640951420527</v>
      </c>
      <c r="H256" s="1">
        <v>-2.1360666093532856</v>
      </c>
      <c r="J256" s="13">
        <v>60</v>
      </c>
      <c r="K256" s="14">
        <f t="shared" si="87"/>
        <v>-0.98561741355300714</v>
      </c>
      <c r="L256" s="14">
        <f>G251</f>
        <v>-1.0767510119305082</v>
      </c>
      <c r="M256" s="14">
        <f>G257</f>
        <v>-1.1944073527590602</v>
      </c>
      <c r="N256" s="14">
        <f>G263</f>
        <v>-1.3176158063207875</v>
      </c>
      <c r="O256" s="14">
        <f>G269</f>
        <v>-1.4308761830918495</v>
      </c>
      <c r="P256" s="14">
        <f t="shared" si="90"/>
        <v>-1.5270410859004715</v>
      </c>
      <c r="Q256" s="14">
        <f>G281</f>
        <v>-1.6046531743751036</v>
      </c>
      <c r="R256" s="15">
        <f>G287</f>
        <v>-1.6631467423512025</v>
      </c>
      <c r="U256" s="13">
        <v>60</v>
      </c>
      <c r="V256" s="14">
        <v>0.98561741355300714</v>
      </c>
      <c r="W256" s="14">
        <v>1.0767510119305082</v>
      </c>
      <c r="X256" s="14">
        <v>1.1944073527590602</v>
      </c>
      <c r="Y256" s="14">
        <v>1.3176158063207875</v>
      </c>
      <c r="Z256" s="14">
        <v>1.4308761830918495</v>
      </c>
      <c r="AA256" s="14">
        <v>1.5270410859004715</v>
      </c>
      <c r="AB256" s="14">
        <v>1.6046531743751036</v>
      </c>
      <c r="AC256" s="15">
        <v>1.6631467423512025</v>
      </c>
    </row>
    <row r="257" spans="1:29" x14ac:dyDescent="0.25">
      <c r="A257" t="s">
        <v>5</v>
      </c>
      <c r="B257" s="24">
        <v>60</v>
      </c>
      <c r="C257" s="20">
        <v>50</v>
      </c>
      <c r="D257">
        <v>1.6</v>
      </c>
      <c r="E257">
        <v>-6</v>
      </c>
      <c r="F257" s="1">
        <v>1.0668221066658283</v>
      </c>
      <c r="G257" s="1">
        <v>-1.1944073527590602</v>
      </c>
      <c r="H257" s="1">
        <v>-2.0319207256003446</v>
      </c>
      <c r="J257" s="13">
        <v>70</v>
      </c>
      <c r="K257" s="14">
        <f t="shared" si="87"/>
        <v>-0.80538691616204039</v>
      </c>
      <c r="L257" s="14">
        <f t="shared" ref="L257:L258" si="91">G252</f>
        <v>-0.8668071401979891</v>
      </c>
      <c r="M257" s="14">
        <f>G258</f>
        <v>-0.95923535407753291</v>
      </c>
      <c r="N257" s="14">
        <f>G264</f>
        <v>-1.0631526243659726</v>
      </c>
      <c r="O257" s="14">
        <f t="shared" si="89"/>
        <v>-1.1641344000419405</v>
      </c>
      <c r="P257" s="14">
        <f t="shared" si="90"/>
        <v>-1.2558883370084717</v>
      </c>
      <c r="Q257" s="14">
        <f>G282</f>
        <v>-1.3376401987050599</v>
      </c>
      <c r="R257" s="15">
        <f>G288</f>
        <v>-1.4091928901842175</v>
      </c>
      <c r="U257" s="13">
        <v>70</v>
      </c>
      <c r="V257" s="14">
        <v>0.80538691616204039</v>
      </c>
      <c r="W257" s="14">
        <v>0.8668071401979891</v>
      </c>
      <c r="X257" s="14">
        <v>0.95923535407753291</v>
      </c>
      <c r="Y257" s="14">
        <v>1.0631526243659726</v>
      </c>
      <c r="Z257" s="14">
        <v>1.1641344000419405</v>
      </c>
      <c r="AA257" s="14">
        <v>1.2558883370084717</v>
      </c>
      <c r="AB257" s="14">
        <v>1.3376401987050599</v>
      </c>
      <c r="AC257" s="15">
        <v>1.4091928901842175</v>
      </c>
    </row>
    <row r="258" spans="1:29" ht="15.75" thickBot="1" x14ac:dyDescent="0.3">
      <c r="A258" t="s">
        <v>5</v>
      </c>
      <c r="B258" s="24">
        <v>70</v>
      </c>
      <c r="C258" s="20">
        <v>50</v>
      </c>
      <c r="D258">
        <v>1.6</v>
      </c>
      <c r="E258">
        <v>-6</v>
      </c>
      <c r="F258" s="1">
        <v>1.0585489619875208</v>
      </c>
      <c r="G258" s="1">
        <v>-0.95923535407753291</v>
      </c>
      <c r="H258" s="1">
        <v>-1.9492714712865653</v>
      </c>
      <c r="J258" s="16">
        <v>80</v>
      </c>
      <c r="K258" s="17">
        <f t="shared" si="87"/>
        <v>-0.74466005602192609</v>
      </c>
      <c r="L258" s="17">
        <f>G253</f>
        <v>-0.7631709942477487</v>
      </c>
      <c r="M258" s="17">
        <f>G259</f>
        <v>-0.81156046173509999</v>
      </c>
      <c r="N258" s="17">
        <f>G265</f>
        <v>-0.87599147608437278</v>
      </c>
      <c r="O258" s="17">
        <f t="shared" si="89"/>
        <v>-0.94622348567573389</v>
      </c>
      <c r="P258" s="17">
        <f t="shared" si="90"/>
        <v>-1.0180886371728595</v>
      </c>
      <c r="Q258" s="17">
        <f>G283</f>
        <v>-1.0913701147762471</v>
      </c>
      <c r="R258" s="18">
        <f>G289</f>
        <v>-1.1657119684474184</v>
      </c>
      <c r="U258" s="16">
        <v>80</v>
      </c>
      <c r="V258" s="17">
        <v>0.74466005602192609</v>
      </c>
      <c r="W258" s="17">
        <v>0.7631709942477487</v>
      </c>
      <c r="X258" s="17">
        <v>0.81156046173509999</v>
      </c>
      <c r="Y258" s="17">
        <v>0.87599147608437278</v>
      </c>
      <c r="Z258" s="17">
        <v>0.94622348567573389</v>
      </c>
      <c r="AA258" s="17">
        <v>1.0180886371728595</v>
      </c>
      <c r="AB258" s="17">
        <v>1.0913701147762471</v>
      </c>
      <c r="AC258" s="18">
        <v>1.1657119684474184</v>
      </c>
    </row>
    <row r="259" spans="1:29" ht="15.75" thickBot="1" x14ac:dyDescent="0.3">
      <c r="A259" t="s">
        <v>5</v>
      </c>
      <c r="B259" s="24">
        <v>80</v>
      </c>
      <c r="C259" s="20">
        <v>50</v>
      </c>
      <c r="D259">
        <v>1.6</v>
      </c>
      <c r="E259">
        <v>-6</v>
      </c>
      <c r="F259" s="1">
        <v>1.06018379534576</v>
      </c>
      <c r="G259" s="1">
        <v>-0.81156046173509999</v>
      </c>
      <c r="H259" s="1">
        <v>-1.9079421991170014</v>
      </c>
    </row>
    <row r="260" spans="1:29" x14ac:dyDescent="0.25">
      <c r="A260" t="s">
        <v>5</v>
      </c>
      <c r="B260" s="24">
        <v>30</v>
      </c>
      <c r="C260" s="20">
        <v>60</v>
      </c>
      <c r="D260">
        <v>1.6</v>
      </c>
      <c r="E260">
        <v>-6</v>
      </c>
      <c r="F260" s="1">
        <v>1.0921497612403681</v>
      </c>
      <c r="G260" s="1">
        <v>-2.1908223428184241</v>
      </c>
      <c r="H260" s="1">
        <v>-2.1948764919580426</v>
      </c>
      <c r="J260" s="5" t="s">
        <v>13</v>
      </c>
      <c r="K260" s="6" t="s">
        <v>10</v>
      </c>
      <c r="L260" s="7"/>
      <c r="M260" s="8"/>
      <c r="N260" s="8"/>
      <c r="O260" s="8"/>
      <c r="P260" s="8"/>
      <c r="Q260" s="8"/>
      <c r="R260" s="9"/>
      <c r="U260" s="5" t="s">
        <v>13</v>
      </c>
      <c r="V260" s="6" t="s">
        <v>10</v>
      </c>
      <c r="W260" s="7"/>
      <c r="X260" s="8"/>
      <c r="Y260" s="8"/>
      <c r="Z260" s="8"/>
      <c r="AA260" s="8"/>
      <c r="AB260" s="8"/>
      <c r="AC260" s="9"/>
    </row>
    <row r="261" spans="1:29" x14ac:dyDescent="0.25">
      <c r="A261" t="s">
        <v>5</v>
      </c>
      <c r="B261" s="24">
        <v>40</v>
      </c>
      <c r="C261" s="20">
        <v>60</v>
      </c>
      <c r="D261">
        <v>1.6</v>
      </c>
      <c r="E261">
        <v>-6</v>
      </c>
      <c r="F261" s="1">
        <v>1.0976008466890625</v>
      </c>
      <c r="G261" s="1">
        <v>-1.941259775766464</v>
      </c>
      <c r="H261" s="1">
        <v>-2.1864474305211101</v>
      </c>
      <c r="J261" s="10" t="s">
        <v>11</v>
      </c>
      <c r="K261" s="11">
        <v>30</v>
      </c>
      <c r="L261" s="11">
        <v>40</v>
      </c>
      <c r="M261" s="11">
        <v>50</v>
      </c>
      <c r="N261" s="11">
        <v>60</v>
      </c>
      <c r="O261" s="11">
        <v>70</v>
      </c>
      <c r="P261" s="11">
        <v>80</v>
      </c>
      <c r="Q261" s="11">
        <v>90</v>
      </c>
      <c r="R261" s="12">
        <v>100</v>
      </c>
      <c r="U261" s="10" t="s">
        <v>11</v>
      </c>
      <c r="V261" s="11">
        <v>30</v>
      </c>
      <c r="W261" s="11">
        <v>40</v>
      </c>
      <c r="X261" s="11">
        <v>50</v>
      </c>
      <c r="Y261" s="11">
        <v>60</v>
      </c>
      <c r="Z261" s="11">
        <v>70</v>
      </c>
      <c r="AA261" s="11">
        <v>80</v>
      </c>
      <c r="AB261" s="11">
        <v>90</v>
      </c>
      <c r="AC261" s="12">
        <v>100</v>
      </c>
    </row>
    <row r="262" spans="1:29" x14ac:dyDescent="0.25">
      <c r="A262" t="s">
        <v>5</v>
      </c>
      <c r="B262" s="24">
        <v>50</v>
      </c>
      <c r="C262" s="20">
        <v>60</v>
      </c>
      <c r="D262">
        <v>1.6</v>
      </c>
      <c r="E262">
        <v>-6</v>
      </c>
      <c r="F262" s="1">
        <v>1.0938576410283096</v>
      </c>
      <c r="G262" s="1">
        <v>-1.6221068642088943</v>
      </c>
      <c r="H262" s="1">
        <v>-2.1395054428335478</v>
      </c>
      <c r="J262" s="13">
        <v>30</v>
      </c>
      <c r="K262" s="14">
        <f>H242</f>
        <v>-2.1753036432530761</v>
      </c>
      <c r="L262" s="14">
        <f>H248</f>
        <v>-2.2369234168584495</v>
      </c>
      <c r="M262" s="14">
        <f>H254</f>
        <v>-2.2457734417425517</v>
      </c>
      <c r="N262" s="14">
        <f>H260</f>
        <v>-2.1948764919580426</v>
      </c>
      <c r="O262" s="14">
        <f>H266</f>
        <v>-2.0963025845387602</v>
      </c>
      <c r="P262" s="14">
        <f>H272</f>
        <v>-1.976628717121516</v>
      </c>
      <c r="Q262" s="14">
        <f>H278</f>
        <v>-1.8657490903833449</v>
      </c>
      <c r="R262" s="15">
        <f>H284</f>
        <v>-1.7852951196556486</v>
      </c>
      <c r="U262" s="13">
        <v>30</v>
      </c>
      <c r="V262" s="14">
        <v>2.1753036432530761</v>
      </c>
      <c r="W262" s="14">
        <v>2.2369234168584495</v>
      </c>
      <c r="X262" s="14">
        <v>2.2457734417425517</v>
      </c>
      <c r="Y262" s="14">
        <v>2.1948764919580426</v>
      </c>
      <c r="Z262" s="14">
        <v>2.0963025845387602</v>
      </c>
      <c r="AA262" s="14">
        <v>1.976628717121516</v>
      </c>
      <c r="AB262" s="14">
        <v>1.8657490903833449</v>
      </c>
      <c r="AC262" s="15">
        <v>1.7852951196556486</v>
      </c>
    </row>
    <row r="263" spans="1:29" x14ac:dyDescent="0.25">
      <c r="A263" t="s">
        <v>5</v>
      </c>
      <c r="B263" s="24">
        <v>60</v>
      </c>
      <c r="C263" s="20">
        <v>60</v>
      </c>
      <c r="D263">
        <v>1.6</v>
      </c>
      <c r="E263">
        <v>-6</v>
      </c>
      <c r="F263" s="1">
        <v>1.0842287349147131</v>
      </c>
      <c r="G263" s="1">
        <v>-1.3176158063207875</v>
      </c>
      <c r="H263" s="1">
        <v>-2.0726210624829555</v>
      </c>
      <c r="J263" s="13">
        <v>40</v>
      </c>
      <c r="K263" s="14">
        <f>H243</f>
        <v>-2.1181680234196092</v>
      </c>
      <c r="L263" s="14">
        <f>H249</f>
        <v>-2.1934966568207601</v>
      </c>
      <c r="M263" s="14">
        <f>H255</f>
        <v>-2.2192774906312538</v>
      </c>
      <c r="N263" s="14">
        <f>H261</f>
        <v>-2.1864474305211101</v>
      </c>
      <c r="O263" s="14">
        <f>H267</f>
        <v>-2.1055177490172401</v>
      </c>
      <c r="P263" s="14">
        <f>H273</f>
        <v>-2.0018453606381774</v>
      </c>
      <c r="Q263" s="14">
        <f>H279</f>
        <v>-1.9040711931877672</v>
      </c>
      <c r="R263" s="15">
        <f>H285</f>
        <v>-1.8325041756680869</v>
      </c>
      <c r="U263" s="13">
        <v>40</v>
      </c>
      <c r="V263" s="14">
        <v>2.1181680234196092</v>
      </c>
      <c r="W263" s="14">
        <v>2.1934966568207601</v>
      </c>
      <c r="X263" s="14">
        <v>2.2192774906312538</v>
      </c>
      <c r="Y263" s="14">
        <v>2.1864474305211101</v>
      </c>
      <c r="Z263" s="14">
        <v>2.1055177490172401</v>
      </c>
      <c r="AA263" s="14">
        <v>2.0018453606381774</v>
      </c>
      <c r="AB263" s="14">
        <v>1.9040711931877672</v>
      </c>
      <c r="AC263" s="15">
        <v>1.8325041756680869</v>
      </c>
    </row>
    <row r="264" spans="1:29" x14ac:dyDescent="0.25">
      <c r="A264" t="s">
        <v>5</v>
      </c>
      <c r="B264" s="24">
        <v>70</v>
      </c>
      <c r="C264" s="20">
        <v>60</v>
      </c>
      <c r="D264">
        <v>1.6</v>
      </c>
      <c r="E264">
        <v>-6</v>
      </c>
      <c r="F264" s="1">
        <v>1.0771442675305354</v>
      </c>
      <c r="G264" s="1">
        <v>-1.0631526243659726</v>
      </c>
      <c r="H264" s="1">
        <v>-2.0111251119907427</v>
      </c>
      <c r="J264" s="13">
        <v>50</v>
      </c>
      <c r="K264" s="14">
        <f>H244</f>
        <v>-1.9998541946677784</v>
      </c>
      <c r="L264" s="14">
        <f>H250</f>
        <v>-2.0855879140474807</v>
      </c>
      <c r="M264" s="14">
        <f>H256</f>
        <v>-2.1360666093532856</v>
      </c>
      <c r="N264" s="14">
        <f>H262</f>
        <v>-2.1395054428335478</v>
      </c>
      <c r="O264" s="14">
        <f>H268</f>
        <v>-2.1002732346113273</v>
      </c>
      <c r="P264" s="14">
        <f>H274</f>
        <v>-2.0356953424375188</v>
      </c>
      <c r="Q264" s="14">
        <f>H280</f>
        <v>-1.9670486415656505</v>
      </c>
      <c r="R264" s="15">
        <f>H286</f>
        <v>-1.9103979957714234</v>
      </c>
      <c r="U264" s="13">
        <v>50</v>
      </c>
      <c r="V264" s="14">
        <v>1.9998541946677784</v>
      </c>
      <c r="W264" s="14">
        <v>2.0855879140474807</v>
      </c>
      <c r="X264" s="14">
        <v>2.1360666093532856</v>
      </c>
      <c r="Y264" s="14">
        <v>2.1395054428335478</v>
      </c>
      <c r="Z264" s="14">
        <v>2.1002732346113273</v>
      </c>
      <c r="AA264" s="14">
        <v>2.0356953424375188</v>
      </c>
      <c r="AB264" s="14">
        <v>1.9670486415656505</v>
      </c>
      <c r="AC264" s="15">
        <v>1.9103979957714234</v>
      </c>
    </row>
    <row r="265" spans="1:29" x14ac:dyDescent="0.25">
      <c r="A265" t="s">
        <v>5</v>
      </c>
      <c r="B265" s="24">
        <v>80</v>
      </c>
      <c r="C265" s="20">
        <v>60</v>
      </c>
      <c r="D265">
        <v>1.6</v>
      </c>
      <c r="E265">
        <v>-6</v>
      </c>
      <c r="F265" s="1">
        <v>1.0775409320561173</v>
      </c>
      <c r="G265" s="1">
        <v>-0.87599147608437278</v>
      </c>
      <c r="H265" s="1">
        <v>-1.9699657527137644</v>
      </c>
      <c r="J265" s="13">
        <v>60</v>
      </c>
      <c r="K265" s="14">
        <f>H245</f>
        <v>-1.8729735552305165</v>
      </c>
      <c r="L265" s="14">
        <f>H251</f>
        <v>-1.9606823735131127</v>
      </c>
      <c r="M265" s="14">
        <f>H257</f>
        <v>-2.0319207256003446</v>
      </c>
      <c r="N265" s="14">
        <f>H263</f>
        <v>-2.0726210624829555</v>
      </c>
      <c r="O265" s="14">
        <f>H269</f>
        <v>-2.0789994182153984</v>
      </c>
      <c r="P265" s="14">
        <f>H275</f>
        <v>-2.0570666580936354</v>
      </c>
      <c r="Q265" s="14">
        <f>H281</f>
        <v>-2.018109347267258</v>
      </c>
      <c r="R265" s="15">
        <f>H287</f>
        <v>-1.9733955663817713</v>
      </c>
      <c r="U265" s="13">
        <v>60</v>
      </c>
      <c r="V265" s="14">
        <v>1.8729735552305165</v>
      </c>
      <c r="W265" s="14">
        <v>1.9606823735131127</v>
      </c>
      <c r="X265" s="14">
        <v>2.0319207256003446</v>
      </c>
      <c r="Y265" s="14">
        <v>2.0726210624829555</v>
      </c>
      <c r="Z265" s="14">
        <v>2.0789994182153984</v>
      </c>
      <c r="AA265" s="14">
        <v>2.0570666580936354</v>
      </c>
      <c r="AB265" s="14">
        <v>2.018109347267258</v>
      </c>
      <c r="AC265" s="15">
        <v>1.9733955663817713</v>
      </c>
    </row>
    <row r="266" spans="1:29" x14ac:dyDescent="0.25">
      <c r="A266" t="s">
        <v>5</v>
      </c>
      <c r="B266" s="24">
        <v>30</v>
      </c>
      <c r="C266" s="20">
        <v>70</v>
      </c>
      <c r="D266">
        <v>1.6</v>
      </c>
      <c r="E266">
        <v>-6</v>
      </c>
      <c r="F266" s="1">
        <v>1.1008340794075433</v>
      </c>
      <c r="G266" s="1">
        <v>-2.3030729788351909</v>
      </c>
      <c r="H266" s="1">
        <v>-2.0963025845387602</v>
      </c>
      <c r="J266" s="13">
        <v>70</v>
      </c>
      <c r="K266" s="14">
        <f>H246</f>
        <v>-1.7913462233968354</v>
      </c>
      <c r="L266" s="14">
        <f>H252</f>
        <v>-1.8710769559925073</v>
      </c>
      <c r="M266" s="14">
        <f>H258</f>
        <v>-1.9492714712865653</v>
      </c>
      <c r="N266" s="14">
        <f>H264</f>
        <v>-2.0111251119907427</v>
      </c>
      <c r="O266" s="14">
        <f>H270</f>
        <v>-2.0463822594562107</v>
      </c>
      <c r="P266" s="14">
        <f>H276</f>
        <v>-2.0515127670548492</v>
      </c>
      <c r="Q266" s="14">
        <f>H282</f>
        <v>-2.0296262342764129</v>
      </c>
      <c r="R266" s="15">
        <f>H288</f>
        <v>-1.9887672379285843</v>
      </c>
      <c r="U266" s="13">
        <v>70</v>
      </c>
      <c r="V266" s="14">
        <v>1.7913462233968354</v>
      </c>
      <c r="W266" s="14">
        <v>1.8710769559925073</v>
      </c>
      <c r="X266" s="14">
        <v>1.9492714712865653</v>
      </c>
      <c r="Y266" s="14">
        <v>2.0111251119907427</v>
      </c>
      <c r="Z266" s="14">
        <v>2.0463822594562107</v>
      </c>
      <c r="AA266" s="14">
        <v>2.0515127670548492</v>
      </c>
      <c r="AB266" s="14">
        <v>2.0296262342764129</v>
      </c>
      <c r="AC266" s="15">
        <v>1.9887672379285843</v>
      </c>
    </row>
    <row r="267" spans="1:29" ht="15.75" thickBot="1" x14ac:dyDescent="0.3">
      <c r="A267" t="s">
        <v>5</v>
      </c>
      <c r="B267" s="24">
        <v>40</v>
      </c>
      <c r="C267" s="20">
        <v>70</v>
      </c>
      <c r="D267">
        <v>1.6</v>
      </c>
      <c r="E267">
        <v>-6</v>
      </c>
      <c r="F267" s="1">
        <v>1.106524740344079</v>
      </c>
      <c r="G267" s="1">
        <v>-2.0564275374965924</v>
      </c>
      <c r="H267" s="1">
        <v>-2.1055177490172401</v>
      </c>
      <c r="J267" s="16">
        <v>80</v>
      </c>
      <c r="K267" s="17">
        <f>H247</f>
        <v>-1.7725346228026684</v>
      </c>
      <c r="L267" s="17">
        <f>H253</f>
        <v>-1.8375795153059802</v>
      </c>
      <c r="M267" s="17">
        <f>H259</f>
        <v>-1.9079421991170014</v>
      </c>
      <c r="N267" s="17">
        <f>H265</f>
        <v>-1.9699657527137644</v>
      </c>
      <c r="O267" s="17">
        <f>H271</f>
        <v>-2.0108129737146263</v>
      </c>
      <c r="P267" s="17">
        <f>H277</f>
        <v>-2.0222273988731581</v>
      </c>
      <c r="Q267" s="17">
        <f>H283</f>
        <v>-2.0032411792849123</v>
      </c>
      <c r="R267" s="18">
        <f>H289</f>
        <v>-1.960631099621196</v>
      </c>
      <c r="U267" s="16">
        <v>80</v>
      </c>
      <c r="V267" s="17">
        <v>1.7725346228026684</v>
      </c>
      <c r="W267" s="17">
        <v>1.8375795153059802</v>
      </c>
      <c r="X267" s="17">
        <v>1.9079421991170014</v>
      </c>
      <c r="Y267" s="17">
        <v>1.9699657527137644</v>
      </c>
      <c r="Z267" s="17">
        <v>2.0108129737146263</v>
      </c>
      <c r="AA267" s="17">
        <v>2.0222273988731581</v>
      </c>
      <c r="AB267" s="17">
        <v>2.0032411792849123</v>
      </c>
      <c r="AC267" s="18">
        <v>1.960631099621196</v>
      </c>
    </row>
    <row r="268" spans="1:29" ht="15.75" thickBot="1" x14ac:dyDescent="0.3">
      <c r="A268" t="s">
        <v>5</v>
      </c>
      <c r="B268" s="24">
        <v>50</v>
      </c>
      <c r="C268" s="20">
        <v>70</v>
      </c>
      <c r="D268">
        <v>1.6</v>
      </c>
      <c r="E268">
        <v>-6</v>
      </c>
      <c r="F268" s="1">
        <v>1.1048709303461712</v>
      </c>
      <c r="G268" s="1">
        <v>-1.7368371125274353</v>
      </c>
      <c r="H268" s="1">
        <v>-2.1002732346113273</v>
      </c>
    </row>
    <row r="269" spans="1:29" x14ac:dyDescent="0.25">
      <c r="A269" t="s">
        <v>5</v>
      </c>
      <c r="B269" s="24">
        <v>60</v>
      </c>
      <c r="C269" s="20">
        <v>70</v>
      </c>
      <c r="D269">
        <v>1.6</v>
      </c>
      <c r="E269">
        <v>-6</v>
      </c>
      <c r="F269" s="1">
        <v>1.0981752826354212</v>
      </c>
      <c r="G269" s="1">
        <v>-1.4308761830918495</v>
      </c>
      <c r="H269" s="1">
        <v>-2.0789994182153984</v>
      </c>
      <c r="J269" s="5" t="s">
        <v>29</v>
      </c>
      <c r="K269" s="6" t="s">
        <v>10</v>
      </c>
      <c r="L269" s="7"/>
      <c r="M269" s="8"/>
      <c r="N269" s="8"/>
      <c r="O269" s="8"/>
      <c r="P269" s="8"/>
      <c r="Q269" s="8"/>
      <c r="R269" s="9"/>
      <c r="U269" s="5" t="s">
        <v>29</v>
      </c>
      <c r="V269" s="6" t="s">
        <v>10</v>
      </c>
      <c r="W269" s="7"/>
      <c r="X269" s="8"/>
      <c r="Y269" s="8"/>
      <c r="Z269" s="8"/>
      <c r="AA269" s="8"/>
      <c r="AB269" s="8"/>
      <c r="AC269" s="9"/>
    </row>
    <row r="270" spans="1:29" x14ac:dyDescent="0.25">
      <c r="A270" t="s">
        <v>5</v>
      </c>
      <c r="B270" s="24">
        <v>70</v>
      </c>
      <c r="C270" s="20">
        <v>70</v>
      </c>
      <c r="D270">
        <v>1.6</v>
      </c>
      <c r="E270">
        <v>-6</v>
      </c>
      <c r="F270" s="1">
        <v>1.0927452490152987</v>
      </c>
      <c r="G270" s="1">
        <v>-1.1641344000419405</v>
      </c>
      <c r="H270" s="1">
        <v>-2.0463822594562107</v>
      </c>
      <c r="J270" s="10" t="s">
        <v>11</v>
      </c>
      <c r="K270" s="11">
        <v>30</v>
      </c>
      <c r="L270" s="11">
        <v>40</v>
      </c>
      <c r="M270" s="11">
        <v>50</v>
      </c>
      <c r="N270" s="11">
        <v>60</v>
      </c>
      <c r="O270" s="11">
        <v>70</v>
      </c>
      <c r="P270" s="11">
        <v>80</v>
      </c>
      <c r="Q270" s="11">
        <v>90</v>
      </c>
      <c r="R270" s="12">
        <v>100</v>
      </c>
      <c r="U270" s="10" t="s">
        <v>11</v>
      </c>
      <c r="V270" s="11">
        <v>30</v>
      </c>
      <c r="W270" s="11">
        <v>40</v>
      </c>
      <c r="X270" s="11">
        <v>50</v>
      </c>
      <c r="Y270" s="11">
        <v>60</v>
      </c>
      <c r="Z270" s="11">
        <v>70</v>
      </c>
      <c r="AA270" s="11">
        <v>80</v>
      </c>
      <c r="AB270" s="11">
        <v>90</v>
      </c>
      <c r="AC270" s="12">
        <v>100</v>
      </c>
    </row>
    <row r="271" spans="1:29" x14ac:dyDescent="0.25">
      <c r="A271" t="s">
        <v>5</v>
      </c>
      <c r="B271" s="24">
        <v>80</v>
      </c>
      <c r="C271" s="20">
        <v>70</v>
      </c>
      <c r="D271">
        <v>1.6</v>
      </c>
      <c r="E271">
        <v>-6</v>
      </c>
      <c r="F271" s="1">
        <v>1.0922630806067677</v>
      </c>
      <c r="G271" s="1">
        <v>-0.94622348567573389</v>
      </c>
      <c r="H271" s="1">
        <v>-2.0108129737146263</v>
      </c>
      <c r="J271" s="13">
        <v>30</v>
      </c>
      <c r="K271" s="31">
        <f>K253+K262</f>
        <v>-3.9491717703502616</v>
      </c>
      <c r="L271" s="31">
        <f t="shared" ref="L271:R271" si="92">L253+L262</f>
        <v>-4.1455400224148224</v>
      </c>
      <c r="M271" s="31">
        <f t="shared" si="92"/>
        <v>-4.2990333747290403</v>
      </c>
      <c r="N271" s="31">
        <f t="shared" si="92"/>
        <v>-4.3856988347764663</v>
      </c>
      <c r="O271" s="31">
        <f t="shared" si="92"/>
        <v>-4.3993755633739511</v>
      </c>
      <c r="P271" s="31">
        <f t="shared" si="92"/>
        <v>-4.3513065523331917</v>
      </c>
      <c r="Q271" s="31">
        <f t="shared" si="92"/>
        <v>-4.2620436101184733</v>
      </c>
      <c r="R271" s="15">
        <f t="shared" si="92"/>
        <v>-4.1512052996012185</v>
      </c>
      <c r="U271" s="13">
        <v>30</v>
      </c>
      <c r="V271" s="31">
        <v>3.9491717703502616</v>
      </c>
      <c r="W271" s="31">
        <v>4.1455400224148224</v>
      </c>
      <c r="X271" s="31">
        <v>4.2990333747290403</v>
      </c>
      <c r="Y271" s="31">
        <v>4.3856988347764663</v>
      </c>
      <c r="Z271" s="31">
        <v>4.3993755633739511</v>
      </c>
      <c r="AA271" s="31">
        <v>4.3513065523331917</v>
      </c>
      <c r="AB271" s="31">
        <v>4.2620436101184733</v>
      </c>
      <c r="AC271" s="15">
        <v>4.1512052996012185</v>
      </c>
    </row>
    <row r="272" spans="1:29" x14ac:dyDescent="0.25">
      <c r="A272" t="s">
        <v>5</v>
      </c>
      <c r="B272" s="24">
        <v>30</v>
      </c>
      <c r="C272" s="20">
        <v>80</v>
      </c>
      <c r="D272">
        <v>1.6</v>
      </c>
      <c r="E272">
        <v>-6</v>
      </c>
      <c r="F272" s="1">
        <v>1.1081015535942442</v>
      </c>
      <c r="G272" s="1">
        <v>-2.374677835211676</v>
      </c>
      <c r="H272" s="1">
        <v>-1.976628717121516</v>
      </c>
      <c r="J272" s="13">
        <v>40</v>
      </c>
      <c r="K272" s="31">
        <f t="shared" ref="K272:R272" si="93">K254+K263</f>
        <v>-3.6610084562593581</v>
      </c>
      <c r="L272" s="31">
        <f t="shared" si="93"/>
        <v>-3.8607515593092092</v>
      </c>
      <c r="M272" s="31">
        <f t="shared" si="93"/>
        <v>-4.0252761856491377</v>
      </c>
      <c r="N272" s="31">
        <f t="shared" si="93"/>
        <v>-4.1277072062875746</v>
      </c>
      <c r="O272" s="31">
        <f t="shared" si="93"/>
        <v>-4.1619452865138324</v>
      </c>
      <c r="P272" s="31">
        <f t="shared" si="93"/>
        <v>-4.1412014944313764</v>
      </c>
      <c r="Q272" s="31">
        <f t="shared" si="93"/>
        <v>-4.0872286606394219</v>
      </c>
      <c r="R272" s="15">
        <f t="shared" si="93"/>
        <v>-4.0179373089184036</v>
      </c>
      <c r="U272" s="13">
        <v>40</v>
      </c>
      <c r="V272" s="31">
        <v>3.6610084562593581</v>
      </c>
      <c r="W272" s="31">
        <v>3.8607515593092092</v>
      </c>
      <c r="X272" s="31">
        <v>4.0252761856491377</v>
      </c>
      <c r="Y272" s="31">
        <v>4.1277072062875746</v>
      </c>
      <c r="Z272" s="31">
        <v>4.1619452865138324</v>
      </c>
      <c r="AA272" s="31">
        <v>4.1412014944313764</v>
      </c>
      <c r="AB272" s="31">
        <v>4.0872286606394219</v>
      </c>
      <c r="AC272" s="15">
        <v>4.0179373089184036</v>
      </c>
    </row>
    <row r="273" spans="1:29" x14ac:dyDescent="0.25">
      <c r="A273" t="s">
        <v>5</v>
      </c>
      <c r="B273" s="24">
        <v>40</v>
      </c>
      <c r="C273" s="20">
        <v>80</v>
      </c>
      <c r="D273">
        <v>1.6</v>
      </c>
      <c r="E273">
        <v>-6</v>
      </c>
      <c r="F273" s="1">
        <v>1.1143564053240531</v>
      </c>
      <c r="G273" s="1">
        <v>-2.139356133793199</v>
      </c>
      <c r="H273" s="1">
        <v>-2.0018453606381774</v>
      </c>
      <c r="J273" s="13">
        <v>50</v>
      </c>
      <c r="K273" s="31">
        <f t="shared" ref="K273:R273" si="94">K255+K264</f>
        <v>-3.2531144884494081</v>
      </c>
      <c r="L273" s="31">
        <f t="shared" si="94"/>
        <v>-3.4484037962312768</v>
      </c>
      <c r="M273" s="31">
        <f t="shared" si="94"/>
        <v>-3.6283307044953386</v>
      </c>
      <c r="N273" s="31">
        <f t="shared" si="94"/>
        <v>-3.7616123070424421</v>
      </c>
      <c r="O273" s="31">
        <f t="shared" si="94"/>
        <v>-3.8371103471387626</v>
      </c>
      <c r="P273" s="31">
        <f t="shared" si="94"/>
        <v>-3.8633845678733088</v>
      </c>
      <c r="Q273" s="31">
        <f t="shared" si="94"/>
        <v>-3.8581777387275982</v>
      </c>
      <c r="R273" s="15">
        <f t="shared" si="94"/>
        <v>-3.8360128387604542</v>
      </c>
      <c r="U273" s="13">
        <v>50</v>
      </c>
      <c r="V273" s="31">
        <v>3.2531144884494081</v>
      </c>
      <c r="W273" s="31">
        <v>3.4484037962312768</v>
      </c>
      <c r="X273" s="31">
        <v>3.6283307044953386</v>
      </c>
      <c r="Y273" s="31">
        <v>3.7616123070424421</v>
      </c>
      <c r="Z273" s="31">
        <v>3.8371103471387626</v>
      </c>
      <c r="AA273" s="31">
        <v>3.8633845678733088</v>
      </c>
      <c r="AB273" s="31">
        <v>3.8581777387275982</v>
      </c>
      <c r="AC273" s="15">
        <v>3.8360128387604542</v>
      </c>
    </row>
    <row r="274" spans="1:29" x14ac:dyDescent="0.25">
      <c r="A274" t="s">
        <v>5</v>
      </c>
      <c r="B274" s="24">
        <v>50</v>
      </c>
      <c r="C274" s="20">
        <v>80</v>
      </c>
      <c r="D274">
        <v>1.6</v>
      </c>
      <c r="E274">
        <v>-6</v>
      </c>
      <c r="F274" s="1">
        <v>1.1148040117715925</v>
      </c>
      <c r="G274" s="1">
        <v>-1.8276892254357899</v>
      </c>
      <c r="H274" s="1">
        <v>-2.0356953424375188</v>
      </c>
      <c r="J274" s="13">
        <v>60</v>
      </c>
      <c r="K274" s="31">
        <f t="shared" ref="K274:R275" si="95">K256+K265</f>
        <v>-2.8585909687835236</v>
      </c>
      <c r="L274" s="31">
        <f t="shared" si="95"/>
        <v>-3.0374333854436211</v>
      </c>
      <c r="M274" s="31">
        <f t="shared" si="95"/>
        <v>-3.2263280783594048</v>
      </c>
      <c r="N274" s="31">
        <f t="shared" si="95"/>
        <v>-3.390236868803743</v>
      </c>
      <c r="O274" s="31">
        <f t="shared" si="95"/>
        <v>-3.5098756013072476</v>
      </c>
      <c r="P274" s="31">
        <f t="shared" si="95"/>
        <v>-3.5841077439941067</v>
      </c>
      <c r="Q274" s="31">
        <f t="shared" si="95"/>
        <v>-3.6227625216423616</v>
      </c>
      <c r="R274" s="15">
        <f t="shared" si="95"/>
        <v>-3.6365423087329738</v>
      </c>
      <c r="U274" s="13">
        <v>60</v>
      </c>
      <c r="V274" s="31">
        <v>2.8585909687835236</v>
      </c>
      <c r="W274" s="31">
        <v>3.0374333854436211</v>
      </c>
      <c r="X274" s="31">
        <v>3.2263280783594048</v>
      </c>
      <c r="Y274" s="31">
        <v>3.390236868803743</v>
      </c>
      <c r="Z274" s="31">
        <v>3.5098756013072476</v>
      </c>
      <c r="AA274" s="31">
        <v>3.5841077439941067</v>
      </c>
      <c r="AB274" s="31">
        <v>3.6227625216423616</v>
      </c>
      <c r="AC274" s="15">
        <v>3.6365423087329738</v>
      </c>
    </row>
    <row r="275" spans="1:29" x14ac:dyDescent="0.25">
      <c r="A275" t="s">
        <v>5</v>
      </c>
      <c r="B275" s="24">
        <v>60</v>
      </c>
      <c r="C275" s="20">
        <v>80</v>
      </c>
      <c r="D275">
        <v>1.6</v>
      </c>
      <c r="E275">
        <v>-6</v>
      </c>
      <c r="F275" s="1">
        <v>1.1106642853171449</v>
      </c>
      <c r="G275" s="1">
        <v>-1.5270410859004715</v>
      </c>
      <c r="H275" s="1">
        <v>-2.0570666580936354</v>
      </c>
      <c r="J275" s="13">
        <v>70</v>
      </c>
      <c r="K275" s="31">
        <f t="shared" ref="K275:R275" si="96">K257+K266</f>
        <v>-2.596733139558876</v>
      </c>
      <c r="L275" s="31">
        <f t="shared" si="96"/>
        <v>-2.7378840961904967</v>
      </c>
      <c r="M275" s="31">
        <f t="shared" si="96"/>
        <v>-2.908506825364098</v>
      </c>
      <c r="N275" s="31">
        <f t="shared" si="96"/>
        <v>-3.0742777363567155</v>
      </c>
      <c r="O275" s="31">
        <f t="shared" si="96"/>
        <v>-3.2105166594981513</v>
      </c>
      <c r="P275" s="31">
        <f>P257+P266</f>
        <v>-3.3074011040633211</v>
      </c>
      <c r="Q275" s="31">
        <f>Q257+Q266</f>
        <v>-3.3672664329814728</v>
      </c>
      <c r="R275" s="15">
        <f t="shared" si="95"/>
        <v>-3.3979601281128016</v>
      </c>
      <c r="U275" s="13">
        <v>70</v>
      </c>
      <c r="V275" s="31">
        <v>2.596733139558876</v>
      </c>
      <c r="W275" s="31">
        <v>2.7378840961904967</v>
      </c>
      <c r="X275" s="31">
        <v>2.908506825364098</v>
      </c>
      <c r="Y275" s="31">
        <v>3.0742777363567155</v>
      </c>
      <c r="Z275" s="31">
        <v>3.2105166594981513</v>
      </c>
      <c r="AA275" s="31">
        <v>3.3074011040633211</v>
      </c>
      <c r="AB275" s="31">
        <v>3.3672664329814728</v>
      </c>
      <c r="AC275" s="15">
        <v>3.3979601281128016</v>
      </c>
    </row>
    <row r="276" spans="1:29" ht="15.75" thickBot="1" x14ac:dyDescent="0.3">
      <c r="A276" t="s">
        <v>5</v>
      </c>
      <c r="B276" s="24">
        <v>70</v>
      </c>
      <c r="C276" s="20">
        <v>80</v>
      </c>
      <c r="D276">
        <v>1.6</v>
      </c>
      <c r="E276">
        <v>-6</v>
      </c>
      <c r="F276" s="1">
        <v>1.1062982187376906</v>
      </c>
      <c r="G276" s="1">
        <v>-1.2558883370084717</v>
      </c>
      <c r="H276" s="1">
        <v>-2.0515127670548492</v>
      </c>
      <c r="J276" s="16">
        <v>80</v>
      </c>
      <c r="K276" s="17">
        <f t="shared" ref="K276:R276" si="97">K258+K267</f>
        <v>-2.5171946788245947</v>
      </c>
      <c r="L276" s="17">
        <f t="shared" si="97"/>
        <v>-2.6007505095537287</v>
      </c>
      <c r="M276" s="17">
        <f t="shared" si="97"/>
        <v>-2.7195026608521014</v>
      </c>
      <c r="N276" s="17">
        <f t="shared" si="97"/>
        <v>-2.8459572287981372</v>
      </c>
      <c r="O276" s="17">
        <f t="shared" si="97"/>
        <v>-2.95703645939036</v>
      </c>
      <c r="P276" s="17">
        <f t="shared" si="97"/>
        <v>-3.0403160360460175</v>
      </c>
      <c r="Q276" s="17">
        <f t="shared" si="97"/>
        <v>-3.0946112940611594</v>
      </c>
      <c r="R276" s="18">
        <f t="shared" si="97"/>
        <v>-3.1263430680686142</v>
      </c>
      <c r="U276" s="16">
        <v>80</v>
      </c>
      <c r="V276" s="17">
        <v>2.5171946788245947</v>
      </c>
      <c r="W276" s="17">
        <v>2.6007505095537287</v>
      </c>
      <c r="X276" s="17">
        <v>2.7195026608521014</v>
      </c>
      <c r="Y276" s="17">
        <v>2.8459572287981372</v>
      </c>
      <c r="Z276" s="17">
        <v>2.95703645939036</v>
      </c>
      <c r="AA276" s="17">
        <v>3.0403160360460175</v>
      </c>
      <c r="AB276" s="17">
        <v>3.0946112940611594</v>
      </c>
      <c r="AC276" s="18">
        <v>3.1263430680686142</v>
      </c>
    </row>
    <row r="277" spans="1:29" ht="15.75" thickBot="1" x14ac:dyDescent="0.3">
      <c r="A277" t="s">
        <v>5</v>
      </c>
      <c r="B277" s="24">
        <v>80</v>
      </c>
      <c r="C277" s="20">
        <v>80</v>
      </c>
      <c r="D277">
        <v>1.6</v>
      </c>
      <c r="E277">
        <v>-6</v>
      </c>
      <c r="F277" s="1">
        <v>1.1044575407414436</v>
      </c>
      <c r="G277" s="1">
        <v>-1.0180886371728595</v>
      </c>
      <c r="H277" s="1">
        <v>-2.0222273988731581</v>
      </c>
    </row>
    <row r="278" spans="1:29" x14ac:dyDescent="0.25">
      <c r="A278" t="s">
        <v>5</v>
      </c>
      <c r="B278" s="24">
        <v>30</v>
      </c>
      <c r="C278" s="20">
        <v>90</v>
      </c>
      <c r="D278">
        <v>1.6</v>
      </c>
      <c r="E278">
        <v>-6</v>
      </c>
      <c r="F278" s="1">
        <v>1.1154027477145145</v>
      </c>
      <c r="G278" s="1">
        <v>-2.3962945197351289</v>
      </c>
      <c r="H278" s="1">
        <v>-1.8657490903833449</v>
      </c>
      <c r="J278" s="5" t="s">
        <v>30</v>
      </c>
      <c r="K278" s="6" t="s">
        <v>10</v>
      </c>
      <c r="L278" s="7"/>
      <c r="M278" s="8"/>
      <c r="N278" s="8"/>
      <c r="O278" s="8"/>
      <c r="P278" s="8"/>
      <c r="Q278" s="8"/>
      <c r="R278" s="9"/>
      <c r="U278" s="5" t="s">
        <v>30</v>
      </c>
      <c r="V278" s="6" t="s">
        <v>10</v>
      </c>
      <c r="W278" s="7"/>
      <c r="X278" s="8"/>
      <c r="Y278" s="8"/>
      <c r="Z278" s="8"/>
      <c r="AA278" s="8"/>
      <c r="AB278" s="8"/>
      <c r="AC278" s="9"/>
    </row>
    <row r="279" spans="1:29" x14ac:dyDescent="0.25">
      <c r="A279" t="s">
        <v>5</v>
      </c>
      <c r="B279" s="24">
        <v>40</v>
      </c>
      <c r="C279" s="20">
        <v>90</v>
      </c>
      <c r="D279">
        <v>1.6</v>
      </c>
      <c r="E279">
        <v>-6</v>
      </c>
      <c r="F279" s="1">
        <v>1.1232128721995631</v>
      </c>
      <c r="G279" s="1">
        <v>-2.1831574674516543</v>
      </c>
      <c r="H279" s="1">
        <v>-1.9040711931877672</v>
      </c>
      <c r="J279" s="10" t="s">
        <v>11</v>
      </c>
      <c r="K279" s="11">
        <v>30</v>
      </c>
      <c r="L279" s="11">
        <v>40</v>
      </c>
      <c r="M279" s="11">
        <v>50</v>
      </c>
      <c r="N279" s="11">
        <v>60</v>
      </c>
      <c r="O279" s="11">
        <v>70</v>
      </c>
      <c r="P279" s="11">
        <v>80</v>
      </c>
      <c r="Q279" s="11">
        <v>90</v>
      </c>
      <c r="R279" s="12">
        <v>100</v>
      </c>
      <c r="U279" s="10" t="s">
        <v>11</v>
      </c>
      <c r="V279" s="11">
        <v>30</v>
      </c>
      <c r="W279" s="11">
        <v>40</v>
      </c>
      <c r="X279" s="11">
        <v>50</v>
      </c>
      <c r="Y279" s="11">
        <v>60</v>
      </c>
      <c r="Z279" s="11">
        <v>70</v>
      </c>
      <c r="AA279" s="11">
        <v>80</v>
      </c>
      <c r="AB279" s="11">
        <v>90</v>
      </c>
      <c r="AC279" s="12">
        <v>100</v>
      </c>
    </row>
    <row r="280" spans="1:29" x14ac:dyDescent="0.25">
      <c r="A280" t="s">
        <v>5</v>
      </c>
      <c r="B280" s="24">
        <v>50</v>
      </c>
      <c r="C280" s="20">
        <v>90</v>
      </c>
      <c r="D280">
        <v>1.6</v>
      </c>
      <c r="E280">
        <v>-6</v>
      </c>
      <c r="F280" s="1">
        <v>1.1257973678258468</v>
      </c>
      <c r="G280" s="1">
        <v>-1.8911290971619477</v>
      </c>
      <c r="H280" s="1">
        <v>-1.9670486415656505</v>
      </c>
      <c r="J280" s="13">
        <v>30</v>
      </c>
      <c r="K280" s="31">
        <f>K253/(K253+K262)</f>
        <v>0.44917472073894033</v>
      </c>
      <c r="L280" s="31">
        <f t="shared" ref="L280:R280" si="98">L253/(L253+L262)</f>
        <v>0.46040240722234865</v>
      </c>
      <c r="M280" s="31">
        <f t="shared" si="98"/>
        <v>0.47760967501581708</v>
      </c>
      <c r="N280" s="31">
        <f t="shared" si="98"/>
        <v>0.49953779895834721</v>
      </c>
      <c r="O280" s="31">
        <f t="shared" si="98"/>
        <v>0.52349997077060806</v>
      </c>
      <c r="P280" s="31">
        <f t="shared" si="98"/>
        <v>0.54573903416167313</v>
      </c>
      <c r="Q280" s="31">
        <f t="shared" si="98"/>
        <v>0.56224073213284609</v>
      </c>
      <c r="R280" s="15">
        <f t="shared" si="98"/>
        <v>0.56993331073576359</v>
      </c>
      <c r="U280" s="13">
        <v>30</v>
      </c>
      <c r="V280" s="31">
        <v>0.44917472073894033</v>
      </c>
      <c r="W280" s="31">
        <v>0.46040240722234865</v>
      </c>
      <c r="X280" s="31">
        <v>0.47760967501581708</v>
      </c>
      <c r="Y280" s="31">
        <v>0.49953779895834721</v>
      </c>
      <c r="Z280" s="31">
        <v>0.52349997077060806</v>
      </c>
      <c r="AA280" s="31">
        <v>0.54573903416167313</v>
      </c>
      <c r="AB280" s="31">
        <v>0.56224073213284609</v>
      </c>
      <c r="AC280" s="15">
        <v>0.56993331073576359</v>
      </c>
    </row>
    <row r="281" spans="1:29" x14ac:dyDescent="0.25">
      <c r="A281" t="s">
        <v>5</v>
      </c>
      <c r="B281" s="24">
        <v>60</v>
      </c>
      <c r="C281" s="20">
        <v>90</v>
      </c>
      <c r="D281">
        <v>1.6</v>
      </c>
      <c r="E281">
        <v>-6</v>
      </c>
      <c r="F281" s="1">
        <v>1.1232703338702672</v>
      </c>
      <c r="G281" s="1">
        <v>-1.6046531743751036</v>
      </c>
      <c r="H281" s="1">
        <v>-2.018109347267258</v>
      </c>
      <c r="J281" s="13">
        <v>40</v>
      </c>
      <c r="K281" s="31">
        <f t="shared" ref="K281:R281" si="99">K254/(K254+K263)</f>
        <v>0.4214249847475493</v>
      </c>
      <c r="L281" s="31">
        <f t="shared" si="99"/>
        <v>0.43184723929419716</v>
      </c>
      <c r="M281" s="31">
        <f t="shared" si="99"/>
        <v>0.44866454169197301</v>
      </c>
      <c r="N281" s="31">
        <f t="shared" si="99"/>
        <v>0.47029977630424441</v>
      </c>
      <c r="O281" s="31">
        <f t="shared" si="99"/>
        <v>0.49410249196695144</v>
      </c>
      <c r="P281" s="31">
        <f t="shared" si="99"/>
        <v>0.51660276291070728</v>
      </c>
      <c r="Q281" s="31">
        <f t="shared" si="99"/>
        <v>0.5341412601834008</v>
      </c>
      <c r="R281" s="15">
        <f t="shared" si="99"/>
        <v>0.54391917175995419</v>
      </c>
      <c r="U281" s="13">
        <v>40</v>
      </c>
      <c r="V281" s="31">
        <v>0.4214249847475493</v>
      </c>
      <c r="W281" s="31">
        <v>0.43184723929419716</v>
      </c>
      <c r="X281" s="31">
        <v>0.44866454169197301</v>
      </c>
      <c r="Y281" s="31">
        <v>0.47029977630424441</v>
      </c>
      <c r="Z281" s="31">
        <v>0.49410249196695144</v>
      </c>
      <c r="AA281" s="31">
        <v>0.51660276291070728</v>
      </c>
      <c r="AB281" s="31">
        <v>0.5341412601834008</v>
      </c>
      <c r="AC281" s="15">
        <v>0.54391917175995419</v>
      </c>
    </row>
    <row r="282" spans="1:29" x14ac:dyDescent="0.25">
      <c r="A282" t="s">
        <v>5</v>
      </c>
      <c r="B282" s="24">
        <v>70</v>
      </c>
      <c r="C282" s="20">
        <v>90</v>
      </c>
      <c r="D282">
        <v>1.6</v>
      </c>
      <c r="E282">
        <v>-6</v>
      </c>
      <c r="F282" s="1">
        <v>1.1186185399945512</v>
      </c>
      <c r="G282" s="1">
        <v>-1.3376401987050599</v>
      </c>
      <c r="H282" s="1">
        <v>-2.0296262342764129</v>
      </c>
      <c r="J282" s="13">
        <v>50</v>
      </c>
      <c r="K282" s="31">
        <f t="shared" ref="K282:R282" si="100">K255/(K255+K264)</f>
        <v>0.38524936587122521</v>
      </c>
      <c r="L282" s="31">
        <f t="shared" si="100"/>
        <v>0.39520194348272175</v>
      </c>
      <c r="M282" s="31">
        <f>M255/(M255+M264)</f>
        <v>0.41128116940751974</v>
      </c>
      <c r="N282" s="31">
        <f t="shared" si="100"/>
        <v>0.43122648795358487</v>
      </c>
      <c r="O282" s="31">
        <f t="shared" si="100"/>
        <v>0.4526419506862896</v>
      </c>
      <c r="P282" s="31">
        <f t="shared" si="100"/>
        <v>0.47307980692222018</v>
      </c>
      <c r="Q282" s="31">
        <f t="shared" si="100"/>
        <v>0.49016121734858947</v>
      </c>
      <c r="R282" s="15">
        <f t="shared" si="100"/>
        <v>0.50198341974560812</v>
      </c>
      <c r="U282" s="13">
        <v>50</v>
      </c>
      <c r="V282" s="31">
        <v>0.38524936587122521</v>
      </c>
      <c r="W282" s="31">
        <v>0.39520194348272175</v>
      </c>
      <c r="X282" s="31">
        <v>0.41128116940751974</v>
      </c>
      <c r="Y282" s="31">
        <v>0.43122648795358487</v>
      </c>
      <c r="Z282" s="31">
        <v>0.4526419506862896</v>
      </c>
      <c r="AA282" s="31">
        <v>0.47307980692222018</v>
      </c>
      <c r="AB282" s="31">
        <v>0.49016121734858947</v>
      </c>
      <c r="AC282" s="15">
        <v>0.50198341974560812</v>
      </c>
    </row>
    <row r="283" spans="1:29" x14ac:dyDescent="0.25">
      <c r="A283" t="s">
        <v>5</v>
      </c>
      <c r="B283" s="24">
        <v>80</v>
      </c>
      <c r="C283" s="20">
        <v>90</v>
      </c>
      <c r="D283">
        <v>1.6</v>
      </c>
      <c r="E283">
        <v>-6</v>
      </c>
      <c r="F283" s="1">
        <v>1.1143536377772034</v>
      </c>
      <c r="G283" s="1">
        <v>-1.0913701147762471</v>
      </c>
      <c r="H283" s="1">
        <v>-2.0032411792849123</v>
      </c>
      <c r="J283" s="13">
        <v>60</v>
      </c>
      <c r="K283" s="31">
        <f t="shared" ref="K283:R283" si="101">K256/(K256+K265)</f>
        <v>0.34479134101946657</v>
      </c>
      <c r="L283" s="31">
        <f t="shared" si="101"/>
        <v>0.35449370415517684</v>
      </c>
      <c r="M283" s="31">
        <f t="shared" si="101"/>
        <v>0.37020641538923066</v>
      </c>
      <c r="N283" s="31">
        <f t="shared" si="101"/>
        <v>0.38865007293301984</v>
      </c>
      <c r="O283" s="31">
        <f t="shared" si="101"/>
        <v>0.40767148059575725</v>
      </c>
      <c r="P283" s="31">
        <f t="shared" si="101"/>
        <v>0.42605892316137423</v>
      </c>
      <c r="Q283" s="31">
        <f t="shared" si="101"/>
        <v>0.44293634064858384</v>
      </c>
      <c r="R283" s="15">
        <f t="shared" si="101"/>
        <v>0.45734288264905898</v>
      </c>
      <c r="U283" s="13">
        <v>60</v>
      </c>
      <c r="V283" s="31">
        <v>0.34479134101946657</v>
      </c>
      <c r="W283" s="31">
        <v>0.35449370415517684</v>
      </c>
      <c r="X283" s="31">
        <v>0.37020641538923066</v>
      </c>
      <c r="Y283" s="31">
        <v>0.38865007293301984</v>
      </c>
      <c r="Z283" s="31">
        <v>0.40767148059575725</v>
      </c>
      <c r="AA283" s="31">
        <v>0.42605892316137423</v>
      </c>
      <c r="AB283" s="31">
        <v>0.44293634064858384</v>
      </c>
      <c r="AC283" s="15">
        <v>0.45734288264905898</v>
      </c>
    </row>
    <row r="284" spans="1:29" x14ac:dyDescent="0.25">
      <c r="A284" t="s">
        <v>5</v>
      </c>
      <c r="B284" s="24">
        <v>30</v>
      </c>
      <c r="C284" s="20">
        <v>100</v>
      </c>
      <c r="D284">
        <v>1.6</v>
      </c>
      <c r="E284">
        <v>-6</v>
      </c>
      <c r="F284" s="1">
        <v>1.122575448923929</v>
      </c>
      <c r="G284" s="1">
        <v>-2.36591017994557</v>
      </c>
      <c r="H284" s="1">
        <v>-1.7852951196556486</v>
      </c>
      <c r="J284" s="13">
        <v>70</v>
      </c>
      <c r="K284" s="31">
        <f t="shared" ref="K284:R284" si="102">K257/(K257+K266)</f>
        <v>0.31015390218297778</v>
      </c>
      <c r="L284" s="31">
        <f t="shared" si="102"/>
        <v>0.31659745619037277</v>
      </c>
      <c r="M284" s="31">
        <f t="shared" si="102"/>
        <v>0.32980337048287728</v>
      </c>
      <c r="N284" s="31">
        <f t="shared" si="102"/>
        <v>0.34582191836248999</v>
      </c>
      <c r="O284" s="31">
        <f t="shared" si="102"/>
        <v>0.36260032994935804</v>
      </c>
      <c r="P284" s="31">
        <f t="shared" si="102"/>
        <v>0.3797206016124095</v>
      </c>
      <c r="Q284" s="31">
        <f t="shared" si="102"/>
        <v>0.39724810178465014</v>
      </c>
      <c r="R284" s="15">
        <f t="shared" si="102"/>
        <v>0.41471731187348315</v>
      </c>
      <c r="U284" s="13">
        <v>70</v>
      </c>
      <c r="V284" s="31">
        <v>0.31015390218297778</v>
      </c>
      <c r="W284" s="31">
        <v>0.31659745619037277</v>
      </c>
      <c r="X284" s="31">
        <v>0.32980337048287728</v>
      </c>
      <c r="Y284" s="31">
        <v>0.34582191836248999</v>
      </c>
      <c r="Z284" s="31">
        <v>0.36260032994935804</v>
      </c>
      <c r="AA284" s="31">
        <v>0.3797206016124095</v>
      </c>
      <c r="AB284" s="31">
        <v>0.39724810178465014</v>
      </c>
      <c r="AC284" s="15">
        <v>0.41471731187348315</v>
      </c>
    </row>
    <row r="285" spans="1:29" ht="15.75" thickBot="1" x14ac:dyDescent="0.3">
      <c r="A285" t="s">
        <v>5</v>
      </c>
      <c r="B285" s="24">
        <v>40</v>
      </c>
      <c r="C285" s="20">
        <v>100</v>
      </c>
      <c r="D285">
        <v>1.6</v>
      </c>
      <c r="E285">
        <v>-6</v>
      </c>
      <c r="F285" s="1">
        <v>1.1328145255569708</v>
      </c>
      <c r="G285" s="1">
        <v>-2.1854331332503172</v>
      </c>
      <c r="H285" s="1">
        <v>-1.8325041756680869</v>
      </c>
      <c r="J285" s="16">
        <v>80</v>
      </c>
      <c r="K285" s="17">
        <f t="shared" ref="K285:R285" si="103">K258/(K258+K267)</f>
        <v>0.29582934617105</v>
      </c>
      <c r="L285" s="17">
        <f t="shared" si="103"/>
        <v>0.29344260106622211</v>
      </c>
      <c r="M285" s="17">
        <f t="shared" si="103"/>
        <v>0.29842238193685527</v>
      </c>
      <c r="N285" s="17">
        <f t="shared" si="103"/>
        <v>0.30780205240621578</v>
      </c>
      <c r="O285" s="17">
        <f t="shared" si="103"/>
        <v>0.3199904697390214</v>
      </c>
      <c r="P285" s="17">
        <f t="shared" si="103"/>
        <v>0.33486276594353692</v>
      </c>
      <c r="Q285" s="17">
        <f t="shared" si="103"/>
        <v>0.35266791563473116</v>
      </c>
      <c r="R285" s="18">
        <f t="shared" si="103"/>
        <v>0.37286757821097655</v>
      </c>
      <c r="U285" s="16">
        <v>80</v>
      </c>
      <c r="V285" s="17">
        <v>0.29582934617105</v>
      </c>
      <c r="W285" s="17">
        <v>0.29344260106622211</v>
      </c>
      <c r="X285" s="17">
        <v>0.29842238193685527</v>
      </c>
      <c r="Y285" s="17">
        <v>0.30780205240621578</v>
      </c>
      <c r="Z285" s="17">
        <v>0.3199904697390214</v>
      </c>
      <c r="AA285" s="17">
        <v>0.33486276594353692</v>
      </c>
      <c r="AB285" s="17">
        <v>0.35266791563473116</v>
      </c>
      <c r="AC285" s="18">
        <v>0.37286757821097655</v>
      </c>
    </row>
    <row r="286" spans="1:29" x14ac:dyDescent="0.25">
      <c r="A286" t="s">
        <v>5</v>
      </c>
      <c r="B286" s="24">
        <v>50</v>
      </c>
      <c r="C286" s="20">
        <v>100</v>
      </c>
      <c r="D286">
        <v>1.6</v>
      </c>
      <c r="E286">
        <v>-6</v>
      </c>
      <c r="F286" s="1">
        <v>1.1373520049649892</v>
      </c>
      <c r="G286" s="1">
        <v>-1.925614842989031</v>
      </c>
      <c r="H286" s="1">
        <v>-1.9103979957714234</v>
      </c>
    </row>
    <row r="287" spans="1:29" x14ac:dyDescent="0.25">
      <c r="A287" t="s">
        <v>5</v>
      </c>
      <c r="B287" s="24">
        <v>60</v>
      </c>
      <c r="C287" s="20">
        <v>100</v>
      </c>
      <c r="D287">
        <v>1.6</v>
      </c>
      <c r="E287">
        <v>-6</v>
      </c>
      <c r="F287" s="1">
        <v>1.1353080445468553</v>
      </c>
      <c r="G287" s="1">
        <v>-1.6631467423512025</v>
      </c>
      <c r="H287" s="1">
        <v>-1.9733955663817713</v>
      </c>
    </row>
    <row r="288" spans="1:29" x14ac:dyDescent="0.25">
      <c r="A288" t="s">
        <v>5</v>
      </c>
      <c r="B288" s="24">
        <v>70</v>
      </c>
      <c r="C288" s="20">
        <v>100</v>
      </c>
      <c r="D288">
        <v>1.6</v>
      </c>
      <c r="E288">
        <v>-6</v>
      </c>
      <c r="F288" s="1">
        <v>1.1289994652476674</v>
      </c>
      <c r="G288" s="1">
        <v>-1.4091928901842175</v>
      </c>
      <c r="H288" s="1">
        <v>-1.9887672379285843</v>
      </c>
    </row>
    <row r="289" spans="1:20" x14ac:dyDescent="0.25">
      <c r="A289" t="s">
        <v>5</v>
      </c>
      <c r="B289" s="24">
        <v>80</v>
      </c>
      <c r="C289" s="20">
        <v>100</v>
      </c>
      <c r="D289">
        <v>1.6</v>
      </c>
      <c r="E289">
        <v>-6</v>
      </c>
      <c r="F289" s="1">
        <v>1.1213843685525648</v>
      </c>
      <c r="G289" s="1">
        <v>-1.1657119684474184</v>
      </c>
      <c r="H289" s="1">
        <v>-1.960631099621196</v>
      </c>
      <c r="K289" s="38"/>
      <c r="L289" s="39"/>
      <c r="M289" s="39"/>
      <c r="N289" s="39"/>
      <c r="O289" s="67" t="s">
        <v>26</v>
      </c>
      <c r="P289" s="68" t="s">
        <v>6</v>
      </c>
      <c r="Q289" s="69" t="s">
        <v>27</v>
      </c>
      <c r="R289" s="70" t="s">
        <v>28</v>
      </c>
      <c r="S289" s="71" t="s">
        <v>29</v>
      </c>
      <c r="T289" s="72" t="s">
        <v>30</v>
      </c>
    </row>
    <row r="290" spans="1:20" x14ac:dyDescent="0.25">
      <c r="A290" s="3" t="s">
        <v>5</v>
      </c>
      <c r="B290" s="24">
        <v>50</v>
      </c>
      <c r="C290" s="20">
        <v>50</v>
      </c>
      <c r="D290" s="3">
        <v>-1.6</v>
      </c>
      <c r="E290" s="3">
        <v>9</v>
      </c>
      <c r="F290" s="4">
        <v>1.0559610313539964</v>
      </c>
      <c r="G290" s="4">
        <v>-1.5210978700043676</v>
      </c>
      <c r="H290" s="4">
        <v>-2.1434932771170319</v>
      </c>
      <c r="K290" s="73" t="s">
        <v>23</v>
      </c>
      <c r="L290" s="74" t="s">
        <v>24</v>
      </c>
      <c r="M290" s="75" t="s">
        <v>25</v>
      </c>
      <c r="N290" s="41"/>
      <c r="O290" s="41">
        <f>E290</f>
        <v>9</v>
      </c>
      <c r="P290" s="42">
        <f>F290</f>
        <v>1.0559610313539964</v>
      </c>
      <c r="Q290" s="42">
        <f>-1*G290</f>
        <v>1.5210978700043676</v>
      </c>
      <c r="R290" s="42">
        <f>-1*H290</f>
        <v>2.1434932771170319</v>
      </c>
      <c r="S290" s="61">
        <f>Q290+R290</f>
        <v>3.6645911471213992</v>
      </c>
      <c r="T290" s="62">
        <f>Q290/(Q290+R290)</f>
        <v>0.41507982990113829</v>
      </c>
    </row>
    <row r="291" spans="1:20" x14ac:dyDescent="0.25">
      <c r="A291" s="3" t="s">
        <v>5</v>
      </c>
      <c r="B291" s="24">
        <v>50</v>
      </c>
      <c r="C291" s="20">
        <v>50</v>
      </c>
      <c r="D291" s="3">
        <v>-1.6</v>
      </c>
      <c r="E291" s="3">
        <v>8</v>
      </c>
      <c r="F291" s="4">
        <v>1.0609452715431253</v>
      </c>
      <c r="G291" s="4">
        <v>-1.5238815795255169</v>
      </c>
      <c r="H291" s="4">
        <v>-2.1538012144645031</v>
      </c>
      <c r="K291" s="40">
        <v>50</v>
      </c>
      <c r="L291" s="43">
        <v>50</v>
      </c>
      <c r="M291" s="41">
        <v>-1.6</v>
      </c>
      <c r="N291" s="41"/>
      <c r="O291" s="41">
        <f>E291</f>
        <v>8</v>
      </c>
      <c r="P291" s="42">
        <f>F291</f>
        <v>1.0609452715431253</v>
      </c>
      <c r="Q291" s="42">
        <f t="shared" ref="Q291:Q308" si="104">-1*G291</f>
        <v>1.5238815795255169</v>
      </c>
      <c r="R291" s="42">
        <f t="shared" ref="R291:R308" si="105">-1*H291</f>
        <v>2.1538012144645031</v>
      </c>
      <c r="S291" s="61">
        <f t="shared" ref="S291:S308" si="106">Q291+R291</f>
        <v>3.6776827939900203</v>
      </c>
      <c r="T291" s="62">
        <f t="shared" ref="T291:T308" si="107">Q291/(Q291+R291)</f>
        <v>0.41435916714073523</v>
      </c>
    </row>
    <row r="292" spans="1:20" x14ac:dyDescent="0.25">
      <c r="A292" s="3" t="s">
        <v>5</v>
      </c>
      <c r="B292" s="24">
        <v>50</v>
      </c>
      <c r="C292" s="20">
        <v>50</v>
      </c>
      <c r="D292" s="3">
        <v>-1.6</v>
      </c>
      <c r="E292" s="3">
        <v>7</v>
      </c>
      <c r="F292" s="4">
        <v>1.0651913296753455</v>
      </c>
      <c r="G292" s="4">
        <v>-1.5280497843348289</v>
      </c>
      <c r="H292" s="4">
        <v>-2.1597942823351217</v>
      </c>
      <c r="K292" s="40"/>
      <c r="L292" s="41"/>
      <c r="M292" s="41"/>
      <c r="N292" s="41"/>
      <c r="O292" s="41">
        <f>E292</f>
        <v>7</v>
      </c>
      <c r="P292" s="42">
        <f>F292</f>
        <v>1.0651913296753455</v>
      </c>
      <c r="Q292" s="42">
        <f t="shared" si="104"/>
        <v>1.5280497843348289</v>
      </c>
      <c r="R292" s="42">
        <f t="shared" si="105"/>
        <v>2.1597942823351217</v>
      </c>
      <c r="S292" s="61">
        <f t="shared" si="106"/>
        <v>3.6878440666699506</v>
      </c>
      <c r="T292" s="62">
        <f t="shared" si="107"/>
        <v>0.41434772097471767</v>
      </c>
    </row>
    <row r="293" spans="1:20" x14ac:dyDescent="0.25">
      <c r="A293" s="3" t="s">
        <v>5</v>
      </c>
      <c r="B293" s="24">
        <v>50</v>
      </c>
      <c r="C293" s="20">
        <v>50</v>
      </c>
      <c r="D293" s="3">
        <v>-1.6</v>
      </c>
      <c r="E293" s="3">
        <v>6</v>
      </c>
      <c r="F293" s="4">
        <v>1.0686254405756161</v>
      </c>
      <c r="G293" s="4">
        <v>-1.5334253760312451</v>
      </c>
      <c r="H293" s="4">
        <v>-2.1618291809204915</v>
      </c>
      <c r="K293" s="40"/>
      <c r="L293" s="41"/>
      <c r="M293" s="41"/>
      <c r="N293" s="41"/>
      <c r="O293" s="41">
        <f>E293</f>
        <v>6</v>
      </c>
      <c r="P293" s="42">
        <f>F293</f>
        <v>1.0686254405756161</v>
      </c>
      <c r="Q293" s="42">
        <f t="shared" si="104"/>
        <v>1.5334253760312451</v>
      </c>
      <c r="R293" s="42">
        <f t="shared" si="105"/>
        <v>2.1618291809204915</v>
      </c>
      <c r="S293" s="61">
        <f t="shared" si="106"/>
        <v>3.6952545569517365</v>
      </c>
      <c r="T293" s="62">
        <f t="shared" si="107"/>
        <v>0.41497151343646205</v>
      </c>
    </row>
    <row r="294" spans="1:20" x14ac:dyDescent="0.25">
      <c r="A294" s="3" t="s">
        <v>5</v>
      </c>
      <c r="B294" s="24">
        <v>50</v>
      </c>
      <c r="C294" s="20">
        <v>50</v>
      </c>
      <c r="D294" s="3">
        <v>-1.6</v>
      </c>
      <c r="E294" s="3">
        <v>5</v>
      </c>
      <c r="F294" s="4">
        <v>1.071223891005963</v>
      </c>
      <c r="G294" s="4">
        <v>-1.5395670851141747</v>
      </c>
      <c r="H294" s="4">
        <v>-2.1604676187675036</v>
      </c>
      <c r="K294" s="40"/>
      <c r="L294" s="41"/>
      <c r="M294" s="41"/>
      <c r="N294" s="41"/>
      <c r="O294" s="41">
        <f>E294</f>
        <v>5</v>
      </c>
      <c r="P294" s="42">
        <f>F294</f>
        <v>1.071223891005963</v>
      </c>
      <c r="Q294" s="42">
        <f t="shared" si="104"/>
        <v>1.5395670851141747</v>
      </c>
      <c r="R294" s="42">
        <f t="shared" si="105"/>
        <v>2.1604676187675036</v>
      </c>
      <c r="S294" s="61">
        <f t="shared" si="106"/>
        <v>3.7000347038816783</v>
      </c>
      <c r="T294" s="62">
        <f t="shared" si="107"/>
        <v>0.4160953094572401</v>
      </c>
    </row>
    <row r="295" spans="1:20" x14ac:dyDescent="0.25">
      <c r="A295" s="3" t="s">
        <v>5</v>
      </c>
      <c r="B295" s="24">
        <v>50</v>
      </c>
      <c r="C295" s="20">
        <v>50</v>
      </c>
      <c r="D295" s="3">
        <v>-1.6</v>
      </c>
      <c r="E295" s="3">
        <v>4</v>
      </c>
      <c r="F295" s="4">
        <v>1.0730089684786286</v>
      </c>
      <c r="G295" s="4">
        <v>-1.5457600773466471</v>
      </c>
      <c r="H295" s="4">
        <v>-2.1564104543653659</v>
      </c>
      <c r="K295" s="40"/>
      <c r="L295" s="41"/>
      <c r="M295" s="41"/>
      <c r="N295" s="41"/>
      <c r="O295" s="41">
        <f>E295</f>
        <v>4</v>
      </c>
      <c r="P295" s="42">
        <f>F295</f>
        <v>1.0730089684786286</v>
      </c>
      <c r="Q295" s="42">
        <f t="shared" si="104"/>
        <v>1.5457600773466471</v>
      </c>
      <c r="R295" s="42">
        <f t="shared" si="105"/>
        <v>2.1564104543653659</v>
      </c>
      <c r="S295" s="61">
        <f t="shared" si="106"/>
        <v>3.7021705317120128</v>
      </c>
      <c r="T295" s="62">
        <f t="shared" si="107"/>
        <v>0.41752805931169079</v>
      </c>
    </row>
    <row r="296" spans="1:20" x14ac:dyDescent="0.25">
      <c r="A296" s="3" t="s">
        <v>5</v>
      </c>
      <c r="B296" s="24">
        <v>50</v>
      </c>
      <c r="C296" s="20">
        <v>50</v>
      </c>
      <c r="D296" s="3">
        <v>-1.6</v>
      </c>
      <c r="E296" s="3">
        <v>3</v>
      </c>
      <c r="F296" s="4">
        <v>1.0740409532976272</v>
      </c>
      <c r="G296" s="4">
        <v>-1.551036636418003</v>
      </c>
      <c r="H296" s="4">
        <v>-2.1504171126188831</v>
      </c>
      <c r="K296" s="40"/>
      <c r="L296" s="41"/>
      <c r="M296" s="41"/>
      <c r="N296" s="41"/>
      <c r="O296" s="41">
        <f>E296</f>
        <v>3</v>
      </c>
      <c r="P296" s="42">
        <f>F296</f>
        <v>1.0740409532976272</v>
      </c>
      <c r="Q296" s="42">
        <f t="shared" si="104"/>
        <v>1.551036636418003</v>
      </c>
      <c r="R296" s="42">
        <f t="shared" si="105"/>
        <v>2.1504171126188831</v>
      </c>
      <c r="S296" s="61">
        <f t="shared" si="106"/>
        <v>3.7014537490368862</v>
      </c>
      <c r="T296" s="62">
        <f t="shared" si="107"/>
        <v>0.41903445013235163</v>
      </c>
    </row>
    <row r="297" spans="1:20" x14ac:dyDescent="0.25">
      <c r="A297" s="3" t="s">
        <v>5</v>
      </c>
      <c r="B297" s="24">
        <v>50</v>
      </c>
      <c r="C297" s="20">
        <v>50</v>
      </c>
      <c r="D297" s="3">
        <v>-1.6</v>
      </c>
      <c r="E297" s="3">
        <v>2</v>
      </c>
      <c r="F297" s="4">
        <v>1.074407231109199</v>
      </c>
      <c r="G297" s="4">
        <v>-1.5542291800996235</v>
      </c>
      <c r="H297" s="4">
        <v>-2.1432192545188835</v>
      </c>
      <c r="K297" s="40"/>
      <c r="L297" s="41"/>
      <c r="M297" s="41"/>
      <c r="N297" s="41"/>
      <c r="O297" s="41">
        <f>E297</f>
        <v>2</v>
      </c>
      <c r="P297" s="42">
        <f>F297</f>
        <v>1.074407231109199</v>
      </c>
      <c r="Q297" s="42">
        <f t="shared" si="104"/>
        <v>1.5542291800996235</v>
      </c>
      <c r="R297" s="42">
        <f t="shared" si="105"/>
        <v>2.1432192545188835</v>
      </c>
      <c r="S297" s="61">
        <f t="shared" si="106"/>
        <v>3.697448434618507</v>
      </c>
      <c r="T297" s="62">
        <f t="shared" si="107"/>
        <v>0.4203518203384991</v>
      </c>
    </row>
    <row r="298" spans="1:20" x14ac:dyDescent="0.25">
      <c r="A298" s="3" t="s">
        <v>5</v>
      </c>
      <c r="B298" s="24">
        <v>50</v>
      </c>
      <c r="C298" s="20">
        <v>50</v>
      </c>
      <c r="D298" s="3">
        <v>-1.6</v>
      </c>
      <c r="E298" s="3">
        <v>1</v>
      </c>
      <c r="F298" s="4">
        <v>1.0742099117515527</v>
      </c>
      <c r="G298" s="4">
        <v>-1.5540540255503226</v>
      </c>
      <c r="H298" s="4">
        <v>-2.1354387070577987</v>
      </c>
      <c r="K298" s="40"/>
      <c r="L298" s="41"/>
      <c r="M298" s="41"/>
      <c r="N298" s="41"/>
      <c r="O298" s="41">
        <f>E298</f>
        <v>1</v>
      </c>
      <c r="P298" s="42">
        <f>F298</f>
        <v>1.0742099117515527</v>
      </c>
      <c r="Q298" s="42">
        <f t="shared" si="104"/>
        <v>1.5540540255503226</v>
      </c>
      <c r="R298" s="42">
        <f t="shared" si="105"/>
        <v>2.1354387070577987</v>
      </c>
      <c r="S298" s="61">
        <f t="shared" si="106"/>
        <v>3.6894927326081213</v>
      </c>
      <c r="T298" s="62">
        <f t="shared" si="107"/>
        <v>0.42121075664831403</v>
      </c>
    </row>
    <row r="299" spans="1:20" x14ac:dyDescent="0.25">
      <c r="A299" s="3" t="s">
        <v>5</v>
      </c>
      <c r="B299" s="24">
        <v>50</v>
      </c>
      <c r="C299" s="20">
        <v>50</v>
      </c>
      <c r="D299" s="3">
        <v>-1.6</v>
      </c>
      <c r="E299" s="3">
        <v>0</v>
      </c>
      <c r="F299" s="4">
        <v>1.0735534669134998</v>
      </c>
      <c r="G299" s="4">
        <v>-1.5492202316541637</v>
      </c>
      <c r="H299" s="4">
        <v>-2.1275194224311953</v>
      </c>
      <c r="K299" s="40"/>
      <c r="L299" s="41"/>
      <c r="M299" s="41"/>
      <c r="N299" s="41"/>
      <c r="O299" s="41">
        <f>E299</f>
        <v>0</v>
      </c>
      <c r="P299" s="42">
        <f>F299</f>
        <v>1.0735534669134998</v>
      </c>
      <c r="Q299" s="42">
        <f t="shared" si="104"/>
        <v>1.5492202316541637</v>
      </c>
      <c r="R299" s="42">
        <f t="shared" si="105"/>
        <v>2.1275194224311953</v>
      </c>
      <c r="S299" s="61">
        <f t="shared" si="106"/>
        <v>3.6767396540853587</v>
      </c>
      <c r="T299" s="62">
        <f t="shared" si="107"/>
        <v>0.42135706560913794</v>
      </c>
    </row>
    <row r="300" spans="1:20" x14ac:dyDescent="0.25">
      <c r="A300" s="3" t="s">
        <v>5</v>
      </c>
      <c r="B300" s="24">
        <v>50</v>
      </c>
      <c r="C300" s="20">
        <v>50</v>
      </c>
      <c r="D300" s="3">
        <v>-1.6</v>
      </c>
      <c r="E300" s="3">
        <v>-1</v>
      </c>
      <c r="F300" s="4">
        <v>1.0725338285689956</v>
      </c>
      <c r="G300" s="4">
        <v>-1.5385540682015086</v>
      </c>
      <c r="H300" s="4">
        <v>-2.1196817138862669</v>
      </c>
      <c r="K300" s="40"/>
      <c r="L300" s="41"/>
      <c r="M300" s="41"/>
      <c r="N300" s="41"/>
      <c r="O300" s="41">
        <f>E300</f>
        <v>-1</v>
      </c>
      <c r="P300" s="42">
        <f>F300</f>
        <v>1.0725338285689956</v>
      </c>
      <c r="Q300" s="42">
        <f t="shared" si="104"/>
        <v>1.5385540682015086</v>
      </c>
      <c r="R300" s="42">
        <f t="shared" si="105"/>
        <v>2.1196817138862669</v>
      </c>
      <c r="S300" s="61">
        <f t="shared" si="106"/>
        <v>3.6582357820877753</v>
      </c>
      <c r="T300" s="62">
        <f t="shared" si="107"/>
        <v>0.42057269127782881</v>
      </c>
    </row>
    <row r="301" spans="1:20" x14ac:dyDescent="0.25">
      <c r="A301" s="3" t="s">
        <v>5</v>
      </c>
      <c r="B301" s="24">
        <v>50</v>
      </c>
      <c r="C301" s="20">
        <v>50</v>
      </c>
      <c r="D301" s="3">
        <v>-1.6</v>
      </c>
      <c r="E301" s="3">
        <v>-2</v>
      </c>
      <c r="F301" s="4">
        <v>1.0712301352253257</v>
      </c>
      <c r="G301" s="4">
        <v>-1.5211267669761068</v>
      </c>
      <c r="H301" s="4">
        <v>-2.1119043804532103</v>
      </c>
      <c r="K301" s="40"/>
      <c r="L301" s="41"/>
      <c r="M301" s="41"/>
      <c r="N301" s="41"/>
      <c r="O301" s="41">
        <f>E301</f>
        <v>-2</v>
      </c>
      <c r="P301" s="42">
        <f>F301</f>
        <v>1.0712301352253257</v>
      </c>
      <c r="Q301" s="42">
        <f t="shared" si="104"/>
        <v>1.5211267669761068</v>
      </c>
      <c r="R301" s="42">
        <f t="shared" si="105"/>
        <v>2.1119043804532103</v>
      </c>
      <c r="S301" s="61">
        <f t="shared" si="106"/>
        <v>3.6330311474293171</v>
      </c>
      <c r="T301" s="62">
        <f t="shared" si="107"/>
        <v>0.41869356612932845</v>
      </c>
    </row>
    <row r="302" spans="1:20" x14ac:dyDescent="0.25">
      <c r="A302" s="3" t="s">
        <v>5</v>
      </c>
      <c r="B302" s="24">
        <v>50</v>
      </c>
      <c r="C302" s="20">
        <v>50</v>
      </c>
      <c r="D302" s="3">
        <v>-1.6</v>
      </c>
      <c r="E302" s="3">
        <v>-3</v>
      </c>
      <c r="F302" s="4">
        <v>1.0696999128411109</v>
      </c>
      <c r="G302" s="4">
        <v>-1.4963716865857402</v>
      </c>
      <c r="H302" s="4">
        <v>-2.1039369216838866</v>
      </c>
      <c r="K302" s="40"/>
      <c r="L302" s="41"/>
      <c r="M302" s="41"/>
      <c r="N302" s="41"/>
      <c r="O302" s="41">
        <f>E302</f>
        <v>-3</v>
      </c>
      <c r="P302" s="42">
        <f>F302</f>
        <v>1.0696999128411109</v>
      </c>
      <c r="Q302" s="42">
        <f t="shared" si="104"/>
        <v>1.4963716865857402</v>
      </c>
      <c r="R302" s="42">
        <f t="shared" si="105"/>
        <v>2.1039369216838866</v>
      </c>
      <c r="S302" s="61">
        <f t="shared" si="106"/>
        <v>3.6003086082696267</v>
      </c>
      <c r="T302" s="62">
        <f t="shared" si="107"/>
        <v>0.41562317273266286</v>
      </c>
    </row>
    <row r="303" spans="1:20" x14ac:dyDescent="0.25">
      <c r="A303" s="3" t="s">
        <v>5</v>
      </c>
      <c r="B303" s="24">
        <v>50</v>
      </c>
      <c r="C303" s="20">
        <v>50</v>
      </c>
      <c r="D303" s="3">
        <v>-1.6</v>
      </c>
      <c r="E303" s="3">
        <v>-4</v>
      </c>
      <c r="F303" s="4">
        <v>1.0679779910014866</v>
      </c>
      <c r="G303" s="4">
        <v>-1.4641771884286818</v>
      </c>
      <c r="H303" s="4">
        <v>-2.0953403134307935</v>
      </c>
      <c r="K303" s="40"/>
      <c r="L303" s="41"/>
      <c r="M303" s="41"/>
      <c r="N303" s="41"/>
      <c r="O303" s="41">
        <f>E303</f>
        <v>-4</v>
      </c>
      <c r="P303" s="42">
        <f>F303</f>
        <v>1.0679779910014866</v>
      </c>
      <c r="Q303" s="42">
        <f t="shared" si="104"/>
        <v>1.4641771884286818</v>
      </c>
      <c r="R303" s="42">
        <f t="shared" si="105"/>
        <v>2.0953403134307935</v>
      </c>
      <c r="S303" s="61">
        <f t="shared" si="106"/>
        <v>3.5595175018594754</v>
      </c>
      <c r="T303" s="62">
        <f t="shared" si="107"/>
        <v>0.41134147750749994</v>
      </c>
    </row>
    <row r="304" spans="1:20" x14ac:dyDescent="0.25">
      <c r="A304" s="3" t="s">
        <v>5</v>
      </c>
      <c r="B304" s="24">
        <v>50</v>
      </c>
      <c r="C304" s="20">
        <v>50</v>
      </c>
      <c r="D304" s="3">
        <v>-1.6</v>
      </c>
      <c r="E304" s="3">
        <v>-5</v>
      </c>
      <c r="F304" s="4">
        <v>1.0660789524573682</v>
      </c>
      <c r="G304" s="4">
        <v>-1.4249434599431601</v>
      </c>
      <c r="H304" s="4">
        <v>-2.085551275122234</v>
      </c>
      <c r="K304" s="40"/>
      <c r="L304" s="41"/>
      <c r="M304" s="41"/>
      <c r="N304" s="41"/>
      <c r="O304" s="41">
        <f>E304</f>
        <v>-5</v>
      </c>
      <c r="P304" s="42">
        <f>F304</f>
        <v>1.0660789524573682</v>
      </c>
      <c r="Q304" s="42">
        <f t="shared" si="104"/>
        <v>1.4249434599431601</v>
      </c>
      <c r="R304" s="42">
        <f t="shared" si="105"/>
        <v>2.085551275122234</v>
      </c>
      <c r="S304" s="61">
        <f t="shared" si="106"/>
        <v>3.5104947350653939</v>
      </c>
      <c r="T304" s="62">
        <f t="shared" si="107"/>
        <v>0.40590958468325861</v>
      </c>
    </row>
    <row r="305" spans="1:20" x14ac:dyDescent="0.25">
      <c r="A305" s="3" t="s">
        <v>5</v>
      </c>
      <c r="B305" s="24">
        <v>50</v>
      </c>
      <c r="C305" s="20">
        <v>50</v>
      </c>
      <c r="D305" s="3">
        <v>-1.6</v>
      </c>
      <c r="E305" s="3">
        <v>-6</v>
      </c>
      <c r="F305" s="4">
        <v>1.0640024652197275</v>
      </c>
      <c r="G305" s="4">
        <v>-1.3795950589703116</v>
      </c>
      <c r="H305" s="4">
        <v>-2.0739620907280623</v>
      </c>
      <c r="K305" s="40"/>
      <c r="L305" s="41"/>
      <c r="M305" s="41"/>
      <c r="N305" s="41"/>
      <c r="O305" s="41">
        <f>E305</f>
        <v>-6</v>
      </c>
      <c r="P305" s="42">
        <f>F305</f>
        <v>1.0640024652197275</v>
      </c>
      <c r="Q305" s="42">
        <f t="shared" si="104"/>
        <v>1.3795950589703116</v>
      </c>
      <c r="R305" s="42">
        <f t="shared" si="105"/>
        <v>2.0739620907280623</v>
      </c>
      <c r="S305" s="61">
        <f t="shared" si="106"/>
        <v>3.4535571496983737</v>
      </c>
      <c r="T305" s="62">
        <f t="shared" si="107"/>
        <v>0.39947074832417429</v>
      </c>
    </row>
    <row r="306" spans="1:20" x14ac:dyDescent="0.25">
      <c r="A306" s="3" t="s">
        <v>5</v>
      </c>
      <c r="B306" s="24">
        <v>50</v>
      </c>
      <c r="C306" s="20">
        <v>50</v>
      </c>
      <c r="D306" s="3">
        <v>-1.6</v>
      </c>
      <c r="E306" s="3">
        <v>-7</v>
      </c>
      <c r="F306" s="4">
        <v>1.0617405102405777</v>
      </c>
      <c r="G306" s="4">
        <v>-1.3295456732517679</v>
      </c>
      <c r="H306" s="4">
        <v>-2.0600062334700251</v>
      </c>
      <c r="K306" s="40"/>
      <c r="L306" s="41"/>
      <c r="M306" s="41"/>
      <c r="N306" s="41"/>
      <c r="O306" s="41">
        <f>E306</f>
        <v>-7</v>
      </c>
      <c r="P306" s="42">
        <f>F306</f>
        <v>1.0617405102405777</v>
      </c>
      <c r="Q306" s="42">
        <f t="shared" si="104"/>
        <v>1.3295456732517679</v>
      </c>
      <c r="R306" s="42">
        <f t="shared" si="105"/>
        <v>2.0600062334700251</v>
      </c>
      <c r="S306" s="61">
        <f t="shared" si="106"/>
        <v>3.3895519067217927</v>
      </c>
      <c r="T306" s="62">
        <f t="shared" si="107"/>
        <v>0.3922482115158516</v>
      </c>
    </row>
    <row r="307" spans="1:20" x14ac:dyDescent="0.25">
      <c r="A307" s="3" t="s">
        <v>5</v>
      </c>
      <c r="B307" s="24">
        <v>50</v>
      </c>
      <c r="C307" s="20">
        <v>50</v>
      </c>
      <c r="D307" s="3">
        <v>-1.6</v>
      </c>
      <c r="E307" s="3">
        <v>-8</v>
      </c>
      <c r="F307" s="4">
        <v>1.0592853344892439</v>
      </c>
      <c r="G307" s="4">
        <v>-1.2766168905676292</v>
      </c>
      <c r="H307" s="4">
        <v>-2.0432395160264298</v>
      </c>
      <c r="K307" s="40"/>
      <c r="L307" s="41"/>
      <c r="M307" s="41"/>
      <c r="N307" s="41"/>
      <c r="O307" s="41">
        <f>E307</f>
        <v>-8</v>
      </c>
      <c r="P307" s="42">
        <f>F307</f>
        <v>1.0592853344892439</v>
      </c>
      <c r="Q307" s="42">
        <f t="shared" si="104"/>
        <v>1.2766168905676292</v>
      </c>
      <c r="R307" s="42">
        <f t="shared" si="105"/>
        <v>2.0432395160264298</v>
      </c>
      <c r="S307" s="61">
        <f t="shared" si="106"/>
        <v>3.319856406594059</v>
      </c>
      <c r="T307" s="62">
        <f t="shared" si="107"/>
        <v>0.38453979155000534</v>
      </c>
    </row>
    <row r="308" spans="1:20" x14ac:dyDescent="0.25">
      <c r="A308" s="3" t="s">
        <v>5</v>
      </c>
      <c r="B308" s="24">
        <v>50</v>
      </c>
      <c r="C308" s="20">
        <v>50</v>
      </c>
      <c r="D308" s="3">
        <v>-1.6</v>
      </c>
      <c r="E308" s="3">
        <v>-9</v>
      </c>
      <c r="F308" s="4">
        <v>1.0566369450223678</v>
      </c>
      <c r="G308" s="4">
        <v>-1.2229179610165679</v>
      </c>
      <c r="H308" s="4">
        <v>-2.0234072836616583</v>
      </c>
      <c r="K308" s="44"/>
      <c r="L308" s="45"/>
      <c r="M308" s="45"/>
      <c r="N308" s="45"/>
      <c r="O308" s="45">
        <f>E308</f>
        <v>-9</v>
      </c>
      <c r="P308" s="46">
        <f>F308</f>
        <v>1.0566369450223678</v>
      </c>
      <c r="Q308" s="46">
        <f t="shared" si="104"/>
        <v>1.2229179610165679</v>
      </c>
      <c r="R308" s="46">
        <f t="shared" si="105"/>
        <v>2.0234072836616583</v>
      </c>
      <c r="S308" s="63">
        <f t="shared" si="106"/>
        <v>3.2463252446782263</v>
      </c>
      <c r="T308" s="64">
        <f t="shared" si="107"/>
        <v>0.37670839144085294</v>
      </c>
    </row>
  </sheetData>
  <conditionalFormatting sqref="K4:R9">
    <cfRule type="colorScale" priority="152">
      <colorScale>
        <cfvo type="min"/>
        <cfvo type="max"/>
        <color rgb="FF63BE7B"/>
        <color rgb="FFFCFCFF"/>
      </colorScale>
    </cfRule>
  </conditionalFormatting>
  <conditionalFormatting sqref="K13:R18">
    <cfRule type="colorScale" priority="146">
      <colorScale>
        <cfvo type="min"/>
        <cfvo type="max"/>
        <color rgb="FFF8696B"/>
        <color rgb="FFFCFCFF"/>
      </colorScale>
    </cfRule>
  </conditionalFormatting>
  <conditionalFormatting sqref="K22:R27">
    <cfRule type="colorScale" priority="144">
      <colorScale>
        <cfvo type="min"/>
        <cfvo type="max"/>
        <color rgb="FFFFC000"/>
        <color rgb="FFFFFFCC"/>
      </colorScale>
    </cfRule>
    <cfRule type="colorScale" priority="145">
      <colorScale>
        <cfvo type="min"/>
        <cfvo type="max"/>
        <color rgb="FFF8696B"/>
        <color rgb="FFFCFCFF"/>
      </colorScale>
    </cfRule>
  </conditionalFormatting>
  <conditionalFormatting sqref="V4:AC9">
    <cfRule type="colorScale" priority="143">
      <colorScale>
        <cfvo type="min"/>
        <cfvo type="max"/>
        <color rgb="FF63BE7B"/>
        <color rgb="FFFCFCFF"/>
      </colorScale>
    </cfRule>
  </conditionalFormatting>
  <conditionalFormatting sqref="V13:AC18">
    <cfRule type="colorScale" priority="142">
      <colorScale>
        <cfvo type="min"/>
        <cfvo type="max"/>
        <color rgb="FFF8696B"/>
        <color rgb="FFFCFCFF"/>
      </colorScale>
    </cfRule>
  </conditionalFormatting>
  <conditionalFormatting sqref="V22:AC27">
    <cfRule type="colorScale" priority="140">
      <colorScale>
        <cfvo type="min"/>
        <cfvo type="max"/>
        <color rgb="FFFFC000"/>
        <color rgb="FFFFFFCC"/>
      </colorScale>
    </cfRule>
    <cfRule type="colorScale" priority="141">
      <colorScale>
        <cfvo type="min"/>
        <cfvo type="max"/>
        <color rgb="FFF8696B"/>
        <color rgb="FFFCFCFF"/>
      </colorScale>
    </cfRule>
  </conditionalFormatting>
  <conditionalFormatting sqref="K52:R57">
    <cfRule type="colorScale" priority="139">
      <colorScale>
        <cfvo type="min"/>
        <cfvo type="max"/>
        <color rgb="FF63BE7B"/>
        <color rgb="FFFCFCFF"/>
      </colorScale>
    </cfRule>
  </conditionalFormatting>
  <conditionalFormatting sqref="K61:R66">
    <cfRule type="colorScale" priority="138">
      <colorScale>
        <cfvo type="min"/>
        <cfvo type="max"/>
        <color rgb="FFF8696B"/>
        <color rgb="FFFCFCFF"/>
      </colorScale>
    </cfRule>
  </conditionalFormatting>
  <conditionalFormatting sqref="K70:R75">
    <cfRule type="colorScale" priority="136">
      <colorScale>
        <cfvo type="min"/>
        <cfvo type="max"/>
        <color rgb="FFFFC000"/>
        <color rgb="FFFFFFCC"/>
      </colorScale>
    </cfRule>
    <cfRule type="colorScale" priority="137">
      <colorScale>
        <cfvo type="min"/>
        <cfvo type="max"/>
        <color rgb="FFF8696B"/>
        <color rgb="FFFCFCFF"/>
      </colorScale>
    </cfRule>
  </conditionalFormatting>
  <conditionalFormatting sqref="V52:AC57">
    <cfRule type="colorScale" priority="135">
      <colorScale>
        <cfvo type="min"/>
        <cfvo type="max"/>
        <color rgb="FF63BE7B"/>
        <color rgb="FFFCFCFF"/>
      </colorScale>
    </cfRule>
  </conditionalFormatting>
  <conditionalFormatting sqref="V61:AC66">
    <cfRule type="colorScale" priority="134">
      <colorScale>
        <cfvo type="min"/>
        <cfvo type="max"/>
        <color rgb="FFF8696B"/>
        <color rgb="FFFCFCFF"/>
      </colorScale>
    </cfRule>
  </conditionalFormatting>
  <conditionalFormatting sqref="V70:AC75">
    <cfRule type="colorScale" priority="132">
      <colorScale>
        <cfvo type="min"/>
        <cfvo type="max"/>
        <color rgb="FFFFC000"/>
        <color rgb="FFFFFFCC"/>
      </colorScale>
    </cfRule>
    <cfRule type="colorScale" priority="133">
      <colorScale>
        <cfvo type="min"/>
        <cfvo type="max"/>
        <color rgb="FFF8696B"/>
        <color rgb="FFFCFCFF"/>
      </colorScale>
    </cfRule>
  </conditionalFormatting>
  <conditionalFormatting sqref="K100:R105">
    <cfRule type="colorScale" priority="131">
      <colorScale>
        <cfvo type="min"/>
        <cfvo type="max"/>
        <color rgb="FF63BE7B"/>
        <color rgb="FFFCFCFF"/>
      </colorScale>
    </cfRule>
  </conditionalFormatting>
  <conditionalFormatting sqref="K109:R114">
    <cfRule type="colorScale" priority="130">
      <colorScale>
        <cfvo type="min"/>
        <cfvo type="max"/>
        <color rgb="FFF8696B"/>
        <color rgb="FFFCFCFF"/>
      </colorScale>
    </cfRule>
  </conditionalFormatting>
  <conditionalFormatting sqref="K118:R123">
    <cfRule type="colorScale" priority="128">
      <colorScale>
        <cfvo type="min"/>
        <cfvo type="max"/>
        <color rgb="FFFFC000"/>
        <color rgb="FFFFFFCC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V100:AC105">
    <cfRule type="colorScale" priority="127">
      <colorScale>
        <cfvo type="min"/>
        <cfvo type="max"/>
        <color rgb="FF63BE7B"/>
        <color rgb="FFFCFCFF"/>
      </colorScale>
    </cfRule>
  </conditionalFormatting>
  <conditionalFormatting sqref="V109:AC114">
    <cfRule type="colorScale" priority="126">
      <colorScale>
        <cfvo type="min"/>
        <cfvo type="max"/>
        <color rgb="FFF8696B"/>
        <color rgb="FFFCFCFF"/>
      </colorScale>
    </cfRule>
  </conditionalFormatting>
  <conditionalFormatting sqref="V118:AC123">
    <cfRule type="colorScale" priority="124">
      <colorScale>
        <cfvo type="min"/>
        <cfvo type="max"/>
        <color rgb="FFFFC000"/>
        <color rgb="FFFFFFCC"/>
      </colorScale>
    </cfRule>
    <cfRule type="colorScale" priority="125">
      <colorScale>
        <cfvo type="min"/>
        <cfvo type="max"/>
        <color rgb="FFF8696B"/>
        <color rgb="FFFCFCFF"/>
      </colorScale>
    </cfRule>
  </conditionalFormatting>
  <conditionalFormatting sqref="K148:R153">
    <cfRule type="colorScale" priority="123">
      <colorScale>
        <cfvo type="min"/>
        <cfvo type="max"/>
        <color rgb="FF63BE7B"/>
        <color rgb="FFFCFCFF"/>
      </colorScale>
    </cfRule>
  </conditionalFormatting>
  <conditionalFormatting sqref="K157:R162">
    <cfRule type="colorScale" priority="122">
      <colorScale>
        <cfvo type="min"/>
        <cfvo type="max"/>
        <color rgb="FFF8696B"/>
        <color rgb="FFFCFCFF"/>
      </colorScale>
    </cfRule>
  </conditionalFormatting>
  <conditionalFormatting sqref="K166:R171">
    <cfRule type="colorScale" priority="120">
      <colorScale>
        <cfvo type="min"/>
        <cfvo type="max"/>
        <color rgb="FFFFC000"/>
        <color rgb="FFFFFFCC"/>
      </colorScale>
    </cfRule>
    <cfRule type="colorScale" priority="121">
      <colorScale>
        <cfvo type="min"/>
        <cfvo type="max"/>
        <color rgb="FFF8696B"/>
        <color rgb="FFFCFCFF"/>
      </colorScale>
    </cfRule>
  </conditionalFormatting>
  <conditionalFormatting sqref="V148:AC153">
    <cfRule type="colorScale" priority="119">
      <colorScale>
        <cfvo type="min"/>
        <cfvo type="max"/>
        <color rgb="FF63BE7B"/>
        <color rgb="FFFCFCFF"/>
      </colorScale>
    </cfRule>
  </conditionalFormatting>
  <conditionalFormatting sqref="V157:AC162">
    <cfRule type="colorScale" priority="118">
      <colorScale>
        <cfvo type="min"/>
        <cfvo type="max"/>
        <color rgb="FFF8696B"/>
        <color rgb="FFFCFCFF"/>
      </colorScale>
    </cfRule>
  </conditionalFormatting>
  <conditionalFormatting sqref="V166:AC171">
    <cfRule type="colorScale" priority="116">
      <colorScale>
        <cfvo type="min"/>
        <cfvo type="max"/>
        <color rgb="FFFFC000"/>
        <color rgb="FFFFFFCC"/>
      </colorScale>
    </cfRule>
    <cfRule type="colorScale" priority="117">
      <colorScale>
        <cfvo type="min"/>
        <cfvo type="max"/>
        <color rgb="FFF8696B"/>
        <color rgb="FFFCFCFF"/>
      </colorScale>
    </cfRule>
  </conditionalFormatting>
  <conditionalFormatting sqref="K196:R201">
    <cfRule type="colorScale" priority="115">
      <colorScale>
        <cfvo type="min"/>
        <cfvo type="max"/>
        <color rgb="FF63BE7B"/>
        <color rgb="FFFCFCFF"/>
      </colorScale>
    </cfRule>
  </conditionalFormatting>
  <conditionalFormatting sqref="K205:R210">
    <cfRule type="colorScale" priority="114">
      <colorScale>
        <cfvo type="min"/>
        <cfvo type="max"/>
        <color rgb="FFF8696B"/>
        <color rgb="FFFCFCFF"/>
      </colorScale>
    </cfRule>
  </conditionalFormatting>
  <conditionalFormatting sqref="K214:R219">
    <cfRule type="colorScale" priority="112">
      <colorScale>
        <cfvo type="min"/>
        <cfvo type="max"/>
        <color rgb="FFFFC000"/>
        <color rgb="FFFFFFCC"/>
      </colorScale>
    </cfRule>
    <cfRule type="colorScale" priority="113">
      <colorScale>
        <cfvo type="min"/>
        <cfvo type="max"/>
        <color rgb="FFF8696B"/>
        <color rgb="FFFCFCFF"/>
      </colorScale>
    </cfRule>
  </conditionalFormatting>
  <conditionalFormatting sqref="V196:AC201">
    <cfRule type="colorScale" priority="111">
      <colorScale>
        <cfvo type="min"/>
        <cfvo type="max"/>
        <color rgb="FF63BE7B"/>
        <color rgb="FFFCFCFF"/>
      </colorScale>
    </cfRule>
  </conditionalFormatting>
  <conditionalFormatting sqref="V205:AC210">
    <cfRule type="colorScale" priority="110">
      <colorScale>
        <cfvo type="min"/>
        <cfvo type="max"/>
        <color rgb="FFF8696B"/>
        <color rgb="FFFCFCFF"/>
      </colorScale>
    </cfRule>
  </conditionalFormatting>
  <conditionalFormatting sqref="V214:AC219">
    <cfRule type="colorScale" priority="108">
      <colorScale>
        <cfvo type="min"/>
        <cfvo type="max"/>
        <color rgb="FFFFC000"/>
        <color rgb="FFFFFFCC"/>
      </colorScale>
    </cfRule>
    <cfRule type="colorScale" priority="109">
      <colorScale>
        <cfvo type="min"/>
        <cfvo type="max"/>
        <color rgb="FFF8696B"/>
        <color rgb="FFFCFCFF"/>
      </colorScale>
    </cfRule>
  </conditionalFormatting>
  <conditionalFormatting sqref="K244:R249">
    <cfRule type="colorScale" priority="107">
      <colorScale>
        <cfvo type="min"/>
        <cfvo type="max"/>
        <color rgb="FF63BE7B"/>
        <color rgb="FFFCFCFF"/>
      </colorScale>
    </cfRule>
  </conditionalFormatting>
  <conditionalFormatting sqref="K253:R258">
    <cfRule type="colorScale" priority="106">
      <colorScale>
        <cfvo type="min"/>
        <cfvo type="max"/>
        <color rgb="FFF8696B"/>
        <color rgb="FFFCFCFF"/>
      </colorScale>
    </cfRule>
  </conditionalFormatting>
  <conditionalFormatting sqref="K262:R267">
    <cfRule type="colorScale" priority="104">
      <colorScale>
        <cfvo type="min"/>
        <cfvo type="max"/>
        <color rgb="FFFFC000"/>
        <color rgb="FFFFFFCC"/>
      </colorScale>
    </cfRule>
    <cfRule type="colorScale" priority="105">
      <colorScale>
        <cfvo type="min"/>
        <cfvo type="max"/>
        <color rgb="FFF8696B"/>
        <color rgb="FFFCFCFF"/>
      </colorScale>
    </cfRule>
  </conditionalFormatting>
  <conditionalFormatting sqref="V244:AC249">
    <cfRule type="colorScale" priority="103">
      <colorScale>
        <cfvo type="min"/>
        <cfvo type="max"/>
        <color rgb="FF63BE7B"/>
        <color rgb="FFFCFCFF"/>
      </colorScale>
    </cfRule>
  </conditionalFormatting>
  <conditionalFormatting sqref="V253:AC258">
    <cfRule type="colorScale" priority="102">
      <colorScale>
        <cfvo type="min"/>
        <cfvo type="max"/>
        <color rgb="FFF8696B"/>
        <color rgb="FFFCFCFF"/>
      </colorScale>
    </cfRule>
  </conditionalFormatting>
  <conditionalFormatting sqref="V262:AC267">
    <cfRule type="colorScale" priority="100">
      <colorScale>
        <cfvo type="min"/>
        <cfvo type="max"/>
        <color rgb="FFFFC000"/>
        <color rgb="FFFFFFCC"/>
      </colorScale>
    </cfRule>
    <cfRule type="colorScale" priority="101">
      <colorScale>
        <cfvo type="min"/>
        <cfvo type="max"/>
        <color rgb="FFF8696B"/>
        <color rgb="FFFCFCFF"/>
      </colorScale>
    </cfRule>
  </conditionalFormatting>
  <conditionalFormatting sqref="K31:R36">
    <cfRule type="colorScale" priority="93">
      <colorScale>
        <cfvo type="min"/>
        <cfvo type="max"/>
        <color rgb="FF0099FF"/>
        <color rgb="FFCCECFF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98">
      <colorScale>
        <cfvo type="min"/>
        <cfvo type="max"/>
        <color rgb="FFFFC000"/>
        <color rgb="FFFFFFCC"/>
      </colorScale>
    </cfRule>
    <cfRule type="colorScale" priority="99">
      <colorScale>
        <cfvo type="min"/>
        <cfvo type="max"/>
        <color rgb="FFF8696B"/>
        <color rgb="FFFCFCFF"/>
      </colorScale>
    </cfRule>
  </conditionalFormatting>
  <conditionalFormatting sqref="K40:R45">
    <cfRule type="colorScale" priority="94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6">
      <colorScale>
        <cfvo type="min"/>
        <cfvo type="max"/>
        <color rgb="FFFFC000"/>
        <color rgb="FFFFFFCC"/>
      </colorScale>
    </cfRule>
    <cfRule type="colorScale" priority="97">
      <colorScale>
        <cfvo type="min"/>
        <cfvo type="max"/>
        <color rgb="FFF8696B"/>
        <color rgb="FFFCFCFF"/>
      </colorScale>
    </cfRule>
  </conditionalFormatting>
  <conditionalFormatting sqref="V31:AC36">
    <cfRule type="colorScale" priority="89">
      <colorScale>
        <cfvo type="min"/>
        <cfvo type="max"/>
        <color rgb="FF0099FF"/>
        <color rgb="FFCCECFF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91">
      <colorScale>
        <cfvo type="min"/>
        <cfvo type="max"/>
        <color rgb="FFFFC000"/>
        <color rgb="FFFFFFCC"/>
      </colorScale>
    </cfRule>
    <cfRule type="colorScale" priority="92">
      <colorScale>
        <cfvo type="min"/>
        <cfvo type="max"/>
        <color rgb="FFF8696B"/>
        <color rgb="FFFCFCFF"/>
      </colorScale>
    </cfRule>
  </conditionalFormatting>
  <conditionalFormatting sqref="K79:R84">
    <cfRule type="colorScale" priority="82">
      <colorScale>
        <cfvo type="min"/>
        <cfvo type="max"/>
        <color rgb="FF0099FF"/>
        <color rgb="FFCCECFF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84">
      <colorScale>
        <cfvo type="min"/>
        <cfvo type="max"/>
        <color rgb="FFFFC000"/>
        <color rgb="FFFFFFCC"/>
      </colorScale>
    </cfRule>
    <cfRule type="colorScale" priority="85">
      <colorScale>
        <cfvo type="min"/>
        <cfvo type="max"/>
        <color rgb="FFF8696B"/>
        <color rgb="FFFCFCFF"/>
      </colorScale>
    </cfRule>
  </conditionalFormatting>
  <conditionalFormatting sqref="K88:R93">
    <cfRule type="colorScale" priority="79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80">
      <colorScale>
        <cfvo type="min"/>
        <cfvo type="max"/>
        <color rgb="FFFFC000"/>
        <color rgb="FFFFFFCC"/>
      </colorScale>
    </cfRule>
    <cfRule type="colorScale" priority="81">
      <colorScale>
        <cfvo type="min"/>
        <cfvo type="max"/>
        <color rgb="FFF8696B"/>
        <color rgb="FFFCFCFF"/>
      </colorScale>
    </cfRule>
  </conditionalFormatting>
  <conditionalFormatting sqref="V79:AC84">
    <cfRule type="colorScale" priority="75">
      <colorScale>
        <cfvo type="min"/>
        <cfvo type="max"/>
        <color rgb="FF0099FF"/>
        <color rgb="FFCCECFF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7">
      <colorScale>
        <cfvo type="min"/>
        <cfvo type="max"/>
        <color rgb="FFFFC000"/>
        <color rgb="FFFFFFCC"/>
      </colorScale>
    </cfRule>
    <cfRule type="colorScale" priority="78">
      <colorScale>
        <cfvo type="min"/>
        <cfvo type="max"/>
        <color rgb="FFF8696B"/>
        <color rgb="FFFCFCFF"/>
      </colorScale>
    </cfRule>
  </conditionalFormatting>
  <conditionalFormatting sqref="K127:R132">
    <cfRule type="colorScale" priority="68">
      <colorScale>
        <cfvo type="min"/>
        <cfvo type="max"/>
        <color rgb="FF0099FF"/>
        <color rgb="FFCCECFF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0">
      <colorScale>
        <cfvo type="min"/>
        <cfvo type="max"/>
        <color rgb="FFFFC000"/>
        <color rgb="FFFFFFCC"/>
      </colorScale>
    </cfRule>
    <cfRule type="colorScale" priority="71">
      <colorScale>
        <cfvo type="min"/>
        <cfvo type="max"/>
        <color rgb="FFF8696B"/>
        <color rgb="FFFCFCFF"/>
      </colorScale>
    </cfRule>
  </conditionalFormatting>
  <conditionalFormatting sqref="K136:R141">
    <cfRule type="colorScale" priority="65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66">
      <colorScale>
        <cfvo type="min"/>
        <cfvo type="max"/>
        <color rgb="FFFFC000"/>
        <color rgb="FFFFFFCC"/>
      </colorScale>
    </cfRule>
    <cfRule type="colorScale" priority="67">
      <colorScale>
        <cfvo type="min"/>
        <cfvo type="max"/>
        <color rgb="FFF8696B"/>
        <color rgb="FFFCFCFF"/>
      </colorScale>
    </cfRule>
  </conditionalFormatting>
  <conditionalFormatting sqref="V127:AC132">
    <cfRule type="colorScale" priority="61">
      <colorScale>
        <cfvo type="min"/>
        <cfvo type="max"/>
        <color rgb="FF0099FF"/>
        <color rgb="FFCCECFF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3">
      <colorScale>
        <cfvo type="min"/>
        <cfvo type="max"/>
        <color rgb="FFFFC000"/>
        <color rgb="FFFFFFCC"/>
      </colorScale>
    </cfRule>
    <cfRule type="colorScale" priority="64">
      <colorScale>
        <cfvo type="min"/>
        <cfvo type="max"/>
        <color rgb="FFF8696B"/>
        <color rgb="FFFCFCFF"/>
      </colorScale>
    </cfRule>
  </conditionalFormatting>
  <conditionalFormatting sqref="K175:R180">
    <cfRule type="colorScale" priority="54">
      <colorScale>
        <cfvo type="min"/>
        <cfvo type="max"/>
        <color rgb="FF0099FF"/>
        <color rgb="FFCCECFF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6">
      <colorScale>
        <cfvo type="min"/>
        <cfvo type="max"/>
        <color rgb="FFFFC000"/>
        <color rgb="FFFFFFCC"/>
      </colorScale>
    </cfRule>
    <cfRule type="colorScale" priority="57">
      <colorScale>
        <cfvo type="min"/>
        <cfvo type="max"/>
        <color rgb="FFF8696B"/>
        <color rgb="FFFCFCFF"/>
      </colorScale>
    </cfRule>
  </conditionalFormatting>
  <conditionalFormatting sqref="K184:R189">
    <cfRule type="colorScale" priority="51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52">
      <colorScale>
        <cfvo type="min"/>
        <cfvo type="max"/>
        <color rgb="FFFFC000"/>
        <color rgb="FFFFFFCC"/>
      </colorScale>
    </cfRule>
    <cfRule type="colorScale" priority="53">
      <colorScale>
        <cfvo type="min"/>
        <cfvo type="max"/>
        <color rgb="FFF8696B"/>
        <color rgb="FFFCFCFF"/>
      </colorScale>
    </cfRule>
  </conditionalFormatting>
  <conditionalFormatting sqref="V175:AC180">
    <cfRule type="colorScale" priority="47">
      <colorScale>
        <cfvo type="min"/>
        <cfvo type="max"/>
        <color rgb="FF0099FF"/>
        <color rgb="FFCCECFF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9">
      <colorScale>
        <cfvo type="min"/>
        <cfvo type="max"/>
        <color rgb="FFFFC000"/>
        <color rgb="FFFFFFCC"/>
      </colorScale>
    </cfRule>
    <cfRule type="colorScale" priority="50">
      <colorScale>
        <cfvo type="min"/>
        <cfvo type="max"/>
        <color rgb="FFF8696B"/>
        <color rgb="FFFCFCFF"/>
      </colorScale>
    </cfRule>
  </conditionalFormatting>
  <conditionalFormatting sqref="K223:R228">
    <cfRule type="colorScale" priority="40">
      <colorScale>
        <cfvo type="min"/>
        <cfvo type="max"/>
        <color rgb="FF0099FF"/>
        <color rgb="FFCCECFF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2">
      <colorScale>
        <cfvo type="min"/>
        <cfvo type="max"/>
        <color rgb="FFFFC000"/>
        <color rgb="FFFFFFCC"/>
      </colorScale>
    </cfRule>
    <cfRule type="colorScale" priority="43">
      <colorScale>
        <cfvo type="min"/>
        <cfvo type="max"/>
        <color rgb="FFF8696B"/>
        <color rgb="FFFCFCFF"/>
      </colorScale>
    </cfRule>
  </conditionalFormatting>
  <conditionalFormatting sqref="K232:R237">
    <cfRule type="colorScale" priority="37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38">
      <colorScale>
        <cfvo type="min"/>
        <cfvo type="max"/>
        <color rgb="FFFFC000"/>
        <color rgb="FFFFFFCC"/>
      </colorScale>
    </cfRule>
    <cfRule type="colorScale" priority="39">
      <colorScale>
        <cfvo type="min"/>
        <cfvo type="max"/>
        <color rgb="FFF8696B"/>
        <color rgb="FFFCFCFF"/>
      </colorScale>
    </cfRule>
  </conditionalFormatting>
  <conditionalFormatting sqref="V223:AC228">
    <cfRule type="colorScale" priority="33">
      <colorScale>
        <cfvo type="min"/>
        <cfvo type="max"/>
        <color rgb="FF0099FF"/>
        <color rgb="FFCCECFF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5">
      <colorScale>
        <cfvo type="min"/>
        <cfvo type="max"/>
        <color rgb="FFFFC000"/>
        <color rgb="FFFFFFCC"/>
      </colorScale>
    </cfRule>
    <cfRule type="colorScale" priority="36">
      <colorScale>
        <cfvo type="min"/>
        <cfvo type="max"/>
        <color rgb="FFF8696B"/>
        <color rgb="FFFCFCFF"/>
      </colorScale>
    </cfRule>
  </conditionalFormatting>
  <conditionalFormatting sqref="V40:AC45">
    <cfRule type="colorScale" priority="27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28">
      <colorScale>
        <cfvo type="min"/>
        <cfvo type="max"/>
        <color rgb="FFFFC000"/>
        <color rgb="FFFFFFCC"/>
      </colorScale>
    </cfRule>
    <cfRule type="colorScale" priority="29">
      <colorScale>
        <cfvo type="min"/>
        <cfvo type="max"/>
        <color rgb="FFF8696B"/>
        <color rgb="FFFCFCFF"/>
      </colorScale>
    </cfRule>
  </conditionalFormatting>
  <conditionalFormatting sqref="V88:AC93">
    <cfRule type="colorScale" priority="24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25">
      <colorScale>
        <cfvo type="min"/>
        <cfvo type="max"/>
        <color rgb="FFFFC000"/>
        <color rgb="FFFFFFCC"/>
      </colorScale>
    </cfRule>
    <cfRule type="colorScale" priority="26">
      <colorScale>
        <cfvo type="min"/>
        <cfvo type="max"/>
        <color rgb="FFF8696B"/>
        <color rgb="FFFCFCFF"/>
      </colorScale>
    </cfRule>
  </conditionalFormatting>
  <conditionalFormatting sqref="V136:AC141">
    <cfRule type="colorScale" priority="21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22">
      <colorScale>
        <cfvo type="min"/>
        <cfvo type="max"/>
        <color rgb="FFFFC000"/>
        <color rgb="FFFFFFCC"/>
      </colorScale>
    </cfRule>
    <cfRule type="colorScale" priority="23">
      <colorScale>
        <cfvo type="min"/>
        <cfvo type="max"/>
        <color rgb="FFF8696B"/>
        <color rgb="FFFCFCFF"/>
      </colorScale>
    </cfRule>
  </conditionalFormatting>
  <conditionalFormatting sqref="V184:AC189">
    <cfRule type="colorScale" priority="1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19">
      <colorScale>
        <cfvo type="min"/>
        <cfvo type="max"/>
        <color rgb="FFFFC000"/>
        <color rgb="FFFFFFCC"/>
      </colorScale>
    </cfRule>
    <cfRule type="colorScale" priority="20">
      <colorScale>
        <cfvo type="min"/>
        <cfvo type="max"/>
        <color rgb="FFF8696B"/>
        <color rgb="FFFCFCFF"/>
      </colorScale>
    </cfRule>
  </conditionalFormatting>
  <conditionalFormatting sqref="V232:AC237">
    <cfRule type="colorScale" priority="15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16">
      <colorScale>
        <cfvo type="min"/>
        <cfvo type="max"/>
        <color rgb="FFFFC000"/>
        <color rgb="FFFFFFCC"/>
      </colorScale>
    </cfRule>
    <cfRule type="colorScale" priority="17">
      <colorScale>
        <cfvo type="min"/>
        <cfvo type="max"/>
        <color rgb="FFF8696B"/>
        <color rgb="FFFCFCFF"/>
      </colorScale>
    </cfRule>
  </conditionalFormatting>
  <conditionalFormatting sqref="K271:R276">
    <cfRule type="colorScale" priority="11">
      <colorScale>
        <cfvo type="min"/>
        <cfvo type="max"/>
        <color rgb="FF0099FF"/>
        <color rgb="FFCCECFF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">
      <colorScale>
        <cfvo type="min"/>
        <cfvo type="max"/>
        <color rgb="FFFFC000"/>
        <color rgb="FFFFFFCC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K280:R285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V271:AC276">
    <cfRule type="colorScale" priority="4">
      <colorScale>
        <cfvo type="min"/>
        <cfvo type="max"/>
        <color rgb="FF0099FF"/>
        <color rgb="FFCCECFF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FC000"/>
        <color rgb="FFFFFFCC"/>
      </colorScale>
    </cfRule>
    <cfRule type="colorScale" priority="7">
      <colorScale>
        <cfvo type="min"/>
        <cfvo type="max"/>
        <color rgb="FFF8696B"/>
        <color rgb="FFFCFCFF"/>
      </colorScale>
    </cfRule>
  </conditionalFormatting>
  <conditionalFormatting sqref="V280:AC285">
    <cfRule type="colorScale" priority="1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2">
      <colorScale>
        <cfvo type="min"/>
        <cfvo type="max"/>
        <color rgb="FFFFC000"/>
        <color rgb="FFFFFFCC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67C3-B77E-40A4-A305-C861DA454849}">
  <dimension ref="B1:BZ93"/>
  <sheetViews>
    <sheetView zoomScale="85" zoomScaleNormal="85" workbookViewId="0">
      <pane xSplit="10" topLeftCell="K1" activePane="topRight" state="frozen"/>
      <selection pane="topRight" activeCell="C43" sqref="C43"/>
    </sheetView>
  </sheetViews>
  <sheetFormatPr defaultRowHeight="15" x14ac:dyDescent="0.25"/>
  <cols>
    <col min="1" max="1" width="3.7109375" customWidth="1"/>
  </cols>
  <sheetData>
    <row r="1" spans="2:78" ht="21" x14ac:dyDescent="0.25">
      <c r="B1" s="32" t="s">
        <v>14</v>
      </c>
      <c r="C1" s="32"/>
      <c r="D1" s="32"/>
      <c r="E1" s="32"/>
      <c r="G1" s="33" t="s">
        <v>31</v>
      </c>
      <c r="H1" s="33"/>
      <c r="I1" s="33"/>
      <c r="J1" s="33"/>
      <c r="L1" s="32" t="s">
        <v>14</v>
      </c>
      <c r="M1" s="32"/>
      <c r="N1" s="32"/>
      <c r="O1" s="32"/>
      <c r="Q1" s="33" t="s">
        <v>15</v>
      </c>
      <c r="R1" s="33"/>
      <c r="S1" s="33"/>
      <c r="T1" s="33"/>
      <c r="V1" s="36" t="s">
        <v>16</v>
      </c>
      <c r="W1" s="32"/>
      <c r="X1" s="32"/>
      <c r="Y1" s="32"/>
      <c r="AA1" s="33" t="s">
        <v>15</v>
      </c>
      <c r="AB1" s="33"/>
      <c r="AC1" s="33"/>
      <c r="AD1" s="33"/>
      <c r="AF1" s="36" t="s">
        <v>17</v>
      </c>
      <c r="AG1" s="32"/>
      <c r="AH1" s="32"/>
      <c r="AI1" s="32"/>
      <c r="AK1" s="33" t="s">
        <v>15</v>
      </c>
      <c r="AL1" s="33"/>
      <c r="AM1" s="33"/>
      <c r="AN1" s="33"/>
      <c r="AP1" s="36" t="s">
        <v>17</v>
      </c>
      <c r="AQ1" s="32"/>
      <c r="AR1" s="32"/>
      <c r="AS1" s="32"/>
      <c r="AT1" s="76" t="s">
        <v>33</v>
      </c>
      <c r="AU1" s="33" t="s">
        <v>18</v>
      </c>
      <c r="AV1" s="33"/>
      <c r="AW1" s="33"/>
      <c r="AX1" s="33"/>
      <c r="AZ1" s="36" t="s">
        <v>19</v>
      </c>
      <c r="BA1" s="32"/>
      <c r="BB1" s="32"/>
      <c r="BC1" s="32"/>
      <c r="BD1" s="76" t="s">
        <v>33</v>
      </c>
      <c r="BE1" s="37" t="s">
        <v>20</v>
      </c>
      <c r="BF1" s="33"/>
      <c r="BG1" s="33"/>
      <c r="BH1" s="33"/>
      <c r="BI1" s="66"/>
      <c r="BJ1" s="66"/>
    </row>
    <row r="2" spans="2:78" ht="21" x14ac:dyDescent="0.25">
      <c r="B2" s="32"/>
      <c r="C2" s="32"/>
      <c r="D2" s="32"/>
      <c r="E2" s="32"/>
      <c r="G2" s="33"/>
      <c r="H2" s="33"/>
      <c r="I2" s="33"/>
      <c r="J2" s="33"/>
      <c r="L2" s="32"/>
      <c r="M2" s="32"/>
      <c r="N2" s="32"/>
      <c r="O2" s="32"/>
      <c r="Q2" s="33"/>
      <c r="R2" s="33"/>
      <c r="S2" s="33"/>
      <c r="T2" s="33"/>
      <c r="V2" s="32"/>
      <c r="W2" s="32"/>
      <c r="X2" s="32"/>
      <c r="Y2" s="32"/>
      <c r="AA2" s="33"/>
      <c r="AB2" s="33"/>
      <c r="AC2" s="33"/>
      <c r="AD2" s="33"/>
      <c r="AF2" s="32"/>
      <c r="AG2" s="32"/>
      <c r="AH2" s="32"/>
      <c r="AI2" s="32"/>
      <c r="AK2" s="33"/>
      <c r="AL2" s="33"/>
      <c r="AM2" s="33"/>
      <c r="AN2" s="33"/>
      <c r="AP2" s="32"/>
      <c r="AQ2" s="32"/>
      <c r="AR2" s="32"/>
      <c r="AS2" s="32"/>
      <c r="AT2" s="77" t="s">
        <v>35</v>
      </c>
      <c r="AU2" s="33"/>
      <c r="AV2" s="33"/>
      <c r="AW2" s="33"/>
      <c r="AX2" s="33"/>
      <c r="AZ2" s="32"/>
      <c r="BA2" s="32"/>
      <c r="BB2" s="32"/>
      <c r="BC2" s="32"/>
      <c r="BD2" s="77" t="s">
        <v>36</v>
      </c>
      <c r="BE2" s="33"/>
      <c r="BF2" s="33"/>
      <c r="BG2" s="33"/>
      <c r="BH2" s="33"/>
      <c r="BI2" s="66"/>
      <c r="BJ2" s="66"/>
    </row>
    <row r="3" spans="2:78" ht="15.75" thickBot="1" x14ac:dyDescent="0.3">
      <c r="L3" s="34"/>
      <c r="M3" s="35"/>
      <c r="N3" s="1"/>
      <c r="O3" s="1"/>
      <c r="P3" s="1"/>
      <c r="Q3" s="1"/>
      <c r="R3" s="1"/>
      <c r="S3" s="1"/>
      <c r="T3" s="1"/>
      <c r="BL3" s="47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9"/>
    </row>
    <row r="4" spans="2:78" x14ac:dyDescent="0.25">
      <c r="B4" s="5" t="s">
        <v>9</v>
      </c>
      <c r="C4" s="6" t="s">
        <v>10</v>
      </c>
      <c r="D4" s="7"/>
      <c r="E4" s="8"/>
      <c r="F4" s="8"/>
      <c r="G4" s="8"/>
      <c r="H4" s="8"/>
      <c r="I4" s="8"/>
      <c r="J4" s="9"/>
      <c r="L4" s="5" t="s">
        <v>9</v>
      </c>
      <c r="M4" s="6" t="s">
        <v>10</v>
      </c>
      <c r="N4" s="7"/>
      <c r="O4" s="8"/>
      <c r="P4" s="8"/>
      <c r="Q4" s="8"/>
      <c r="R4" s="8"/>
      <c r="S4" s="8"/>
      <c r="T4" s="9"/>
      <c r="V4" s="5" t="s">
        <v>9</v>
      </c>
      <c r="W4" s="6" t="s">
        <v>10</v>
      </c>
      <c r="X4" s="7"/>
      <c r="Y4" s="8"/>
      <c r="Z4" s="8"/>
      <c r="AA4" s="8"/>
      <c r="AB4" s="8"/>
      <c r="AC4" s="8"/>
      <c r="AD4" s="9"/>
      <c r="AF4" s="5" t="s">
        <v>9</v>
      </c>
      <c r="AG4" s="6" t="s">
        <v>10</v>
      </c>
      <c r="AH4" s="7"/>
      <c r="AI4" s="8"/>
      <c r="AJ4" s="8"/>
      <c r="AK4" s="8"/>
      <c r="AL4" s="8"/>
      <c r="AM4" s="8"/>
      <c r="AN4" s="9"/>
      <c r="AP4" s="5" t="s">
        <v>9</v>
      </c>
      <c r="AQ4" s="6" t="s">
        <v>10</v>
      </c>
      <c r="AR4" s="7"/>
      <c r="AS4" s="8"/>
      <c r="AT4" s="8"/>
      <c r="AU4" s="8"/>
      <c r="AV4" s="8"/>
      <c r="AW4" s="8"/>
      <c r="AX4" s="9"/>
      <c r="AZ4" s="5" t="s">
        <v>9</v>
      </c>
      <c r="BA4" s="6" t="s">
        <v>10</v>
      </c>
      <c r="BB4" s="7"/>
      <c r="BC4" s="8"/>
      <c r="BD4" s="8"/>
      <c r="BE4" s="8"/>
      <c r="BF4" s="8"/>
      <c r="BG4" s="8"/>
      <c r="BH4" s="9"/>
      <c r="BI4" s="65"/>
      <c r="BJ4" s="65"/>
      <c r="BL4" s="50"/>
      <c r="BM4" s="51"/>
      <c r="BN4" s="51"/>
      <c r="BO4" s="56" t="s">
        <v>23</v>
      </c>
      <c r="BP4" s="57" t="s">
        <v>24</v>
      </c>
      <c r="BQ4" s="58" t="s">
        <v>25</v>
      </c>
      <c r="BR4" s="41"/>
      <c r="BS4" s="41"/>
      <c r="BT4" s="67" t="s">
        <v>26</v>
      </c>
      <c r="BU4" s="68" t="s">
        <v>6</v>
      </c>
      <c r="BV4" s="69" t="s">
        <v>27</v>
      </c>
      <c r="BW4" s="70" t="s">
        <v>28</v>
      </c>
      <c r="BX4" s="71" t="s">
        <v>29</v>
      </c>
      <c r="BY4" s="72" t="s">
        <v>30</v>
      </c>
      <c r="BZ4" s="52"/>
    </row>
    <row r="5" spans="2:78" x14ac:dyDescent="0.25">
      <c r="B5" s="10" t="s">
        <v>11</v>
      </c>
      <c r="C5" s="11">
        <v>30</v>
      </c>
      <c r="D5" s="11">
        <v>40</v>
      </c>
      <c r="E5" s="11">
        <v>50</v>
      </c>
      <c r="F5" s="11">
        <v>60</v>
      </c>
      <c r="G5" s="11">
        <v>70</v>
      </c>
      <c r="H5" s="11">
        <v>80</v>
      </c>
      <c r="I5" s="11">
        <v>90</v>
      </c>
      <c r="J5" s="12">
        <v>100</v>
      </c>
      <c r="L5" s="10" t="s">
        <v>11</v>
      </c>
      <c r="M5" s="11">
        <v>30</v>
      </c>
      <c r="N5" s="11">
        <v>40</v>
      </c>
      <c r="O5" s="11">
        <v>50</v>
      </c>
      <c r="P5" s="11">
        <v>60</v>
      </c>
      <c r="Q5" s="11">
        <v>70</v>
      </c>
      <c r="R5" s="11">
        <v>80</v>
      </c>
      <c r="S5" s="11">
        <v>90</v>
      </c>
      <c r="T5" s="12">
        <v>100</v>
      </c>
      <c r="V5" s="10" t="s">
        <v>11</v>
      </c>
      <c r="W5" s="11">
        <v>30</v>
      </c>
      <c r="X5" s="11">
        <v>40</v>
      </c>
      <c r="Y5" s="11">
        <v>50</v>
      </c>
      <c r="Z5" s="11">
        <v>60</v>
      </c>
      <c r="AA5" s="11">
        <v>70</v>
      </c>
      <c r="AB5" s="11">
        <v>80</v>
      </c>
      <c r="AC5" s="11">
        <v>90</v>
      </c>
      <c r="AD5" s="12">
        <v>100</v>
      </c>
      <c r="AF5" s="10" t="s">
        <v>11</v>
      </c>
      <c r="AG5" s="11">
        <v>30</v>
      </c>
      <c r="AH5" s="11">
        <v>40</v>
      </c>
      <c r="AI5" s="11">
        <v>50</v>
      </c>
      <c r="AJ5" s="11">
        <v>60</v>
      </c>
      <c r="AK5" s="11">
        <v>70</v>
      </c>
      <c r="AL5" s="11">
        <v>80</v>
      </c>
      <c r="AM5" s="11">
        <v>90</v>
      </c>
      <c r="AN5" s="12">
        <v>100</v>
      </c>
      <c r="AP5" s="10" t="s">
        <v>11</v>
      </c>
      <c r="AQ5" s="11">
        <v>30</v>
      </c>
      <c r="AR5" s="11">
        <v>40</v>
      </c>
      <c r="AS5" s="11">
        <v>50</v>
      </c>
      <c r="AT5" s="11">
        <v>60</v>
      </c>
      <c r="AU5" s="11">
        <v>70</v>
      </c>
      <c r="AV5" s="11">
        <v>80</v>
      </c>
      <c r="AW5" s="11">
        <v>90</v>
      </c>
      <c r="AX5" s="12">
        <v>100</v>
      </c>
      <c r="AZ5" s="10" t="s">
        <v>11</v>
      </c>
      <c r="BA5" s="11">
        <v>30</v>
      </c>
      <c r="BB5" s="11">
        <v>40</v>
      </c>
      <c r="BC5" s="11">
        <v>50</v>
      </c>
      <c r="BD5" s="11">
        <v>60</v>
      </c>
      <c r="BE5" s="11">
        <v>70</v>
      </c>
      <c r="BF5" s="11">
        <v>80</v>
      </c>
      <c r="BG5" s="11">
        <v>90</v>
      </c>
      <c r="BH5" s="12">
        <v>100</v>
      </c>
      <c r="BI5" s="65"/>
      <c r="BJ5" s="65"/>
      <c r="BL5" s="50"/>
      <c r="BM5" s="51"/>
      <c r="BN5" s="51"/>
      <c r="BO5" s="44">
        <v>50</v>
      </c>
      <c r="BP5" s="59">
        <v>50</v>
      </c>
      <c r="BQ5" s="60">
        <v>-1.6</v>
      </c>
      <c r="BR5" s="41"/>
      <c r="BS5" s="41"/>
      <c r="BT5" s="41">
        <v>9</v>
      </c>
      <c r="BU5" s="42">
        <v>1.0559610313539964</v>
      </c>
      <c r="BV5" s="42">
        <v>1.5210978700043676</v>
      </c>
      <c r="BW5" s="42">
        <v>2.1434932771170319</v>
      </c>
      <c r="BX5" s="61">
        <v>3.6645911471213992</v>
      </c>
      <c r="BY5" s="62">
        <v>0.41507982990113829</v>
      </c>
      <c r="BZ5" s="52"/>
    </row>
    <row r="6" spans="2:78" x14ac:dyDescent="0.25">
      <c r="B6" s="13">
        <v>30</v>
      </c>
      <c r="C6" s="14">
        <v>1.0301230593314969</v>
      </c>
      <c r="D6" s="14">
        <v>1.048665219221969</v>
      </c>
      <c r="E6" s="14">
        <v>1.0722025125104937</v>
      </c>
      <c r="F6" s="14">
        <v>1.0975615636993075</v>
      </c>
      <c r="G6" s="14">
        <v>1.1218513651959361</v>
      </c>
      <c r="H6" s="14">
        <v>1.1432153953782405</v>
      </c>
      <c r="I6" s="14">
        <v>1.1606065502975755</v>
      </c>
      <c r="J6" s="15">
        <v>1.1729866078405919</v>
      </c>
      <c r="L6" s="13">
        <v>30</v>
      </c>
      <c r="M6" s="14">
        <v>1.0296632258292395</v>
      </c>
      <c r="N6" s="14">
        <v>1.0487150005675361</v>
      </c>
      <c r="O6" s="14">
        <v>1.0716378640892223</v>
      </c>
      <c r="P6" s="14">
        <v>1.0952398797505292</v>
      </c>
      <c r="Q6" s="14">
        <v>1.1170762825885832</v>
      </c>
      <c r="R6" s="14">
        <v>1.1360571039912339</v>
      </c>
      <c r="S6" s="14">
        <v>1.1519173783495864</v>
      </c>
      <c r="T6" s="15">
        <v>1.1640954838962063</v>
      </c>
      <c r="V6" s="13">
        <v>30</v>
      </c>
      <c r="W6" s="14">
        <v>1.0413178846047439</v>
      </c>
      <c r="X6" s="14">
        <v>1.0573925384959366</v>
      </c>
      <c r="Y6" s="14">
        <v>1.0777212457796004</v>
      </c>
      <c r="Z6" s="14">
        <v>1.0997209995292854</v>
      </c>
      <c r="AA6" s="14">
        <v>1.1207524025055415</v>
      </c>
      <c r="AB6" s="14">
        <v>1.1389134831650771</v>
      </c>
      <c r="AC6" s="14">
        <v>1.1531371042732308</v>
      </c>
      <c r="AD6" s="15">
        <v>1.1626759516911576</v>
      </c>
      <c r="AF6" s="13">
        <v>30</v>
      </c>
      <c r="AG6" s="14">
        <v>1.0474024050673179</v>
      </c>
      <c r="AH6" s="14">
        <v>1.059930329246459</v>
      </c>
      <c r="AI6" s="14">
        <v>1.076261378438006</v>
      </c>
      <c r="AJ6" s="14">
        <v>1.0945305326369394</v>
      </c>
      <c r="AK6" s="14">
        <v>1.1123959568506132</v>
      </c>
      <c r="AL6" s="14">
        <v>1.1277305561766624</v>
      </c>
      <c r="AM6" s="14">
        <v>1.1390270298669762</v>
      </c>
      <c r="AN6" s="15">
        <v>1.1453801303203621</v>
      </c>
      <c r="AP6" s="13">
        <v>30</v>
      </c>
      <c r="AQ6" s="14">
        <v>1.0505218345656362</v>
      </c>
      <c r="AR6" s="14">
        <v>1.062613583880196</v>
      </c>
      <c r="AS6" s="14">
        <v>1.076535486135312</v>
      </c>
      <c r="AT6" s="14">
        <v>1.0908410142734846</v>
      </c>
      <c r="AU6" s="14">
        <v>1.1043644907385988</v>
      </c>
      <c r="AV6" s="14">
        <v>1.1164312337525191</v>
      </c>
      <c r="AW6" s="14">
        <v>1.1266027115288868</v>
      </c>
      <c r="AX6" s="15">
        <v>1.1341959036208045</v>
      </c>
      <c r="AZ6" s="13">
        <v>30</v>
      </c>
      <c r="BA6" s="14">
        <v>1.0499245477165999</v>
      </c>
      <c r="BB6" s="14">
        <v>1.0657315013733855</v>
      </c>
      <c r="BC6" s="14">
        <v>1.0804703943773042</v>
      </c>
      <c r="BD6" s="14">
        <v>1.0921497612403681</v>
      </c>
      <c r="BE6" s="14">
        <v>1.1008340794075433</v>
      </c>
      <c r="BF6" s="14">
        <v>1.1081015535942442</v>
      </c>
      <c r="BG6" s="14">
        <v>1.1154027477145145</v>
      </c>
      <c r="BH6" s="15">
        <v>1.122575448923929</v>
      </c>
      <c r="BI6" s="31"/>
      <c r="BJ6" s="31"/>
      <c r="BL6" s="50"/>
      <c r="BM6" s="51"/>
      <c r="BN6" s="51"/>
      <c r="BO6" s="41"/>
      <c r="BP6" s="41"/>
      <c r="BQ6" s="41"/>
      <c r="BR6" s="41"/>
      <c r="BS6" s="41"/>
      <c r="BT6" s="41">
        <v>8</v>
      </c>
      <c r="BU6" s="42">
        <v>1.0609452715431253</v>
      </c>
      <c r="BV6" s="42">
        <v>1.5238815795255169</v>
      </c>
      <c r="BW6" s="42">
        <v>2.1538012144645031</v>
      </c>
      <c r="BX6" s="61">
        <v>3.6776827939900203</v>
      </c>
      <c r="BY6" s="62">
        <v>0.41435916714073523</v>
      </c>
      <c r="BZ6" s="52"/>
    </row>
    <row r="7" spans="2:78" x14ac:dyDescent="0.25">
      <c r="B7" s="13">
        <v>40</v>
      </c>
      <c r="C7" s="14">
        <v>1.032144373940624</v>
      </c>
      <c r="D7" s="14">
        <v>1.052899179773928</v>
      </c>
      <c r="E7" s="14">
        <v>1.076094370852037</v>
      </c>
      <c r="F7" s="14">
        <v>1.098797540667644</v>
      </c>
      <c r="G7" s="14">
        <v>1.1194877727390988</v>
      </c>
      <c r="H7" s="14">
        <v>1.138105277525526</v>
      </c>
      <c r="I7" s="14">
        <v>1.1548957651409908</v>
      </c>
      <c r="J7" s="15">
        <v>1.1690172498887108</v>
      </c>
      <c r="L7" s="13">
        <v>40</v>
      </c>
      <c r="M7" s="14">
        <v>1.0272302047438766</v>
      </c>
      <c r="N7" s="14">
        <v>1.0479028084735442</v>
      </c>
      <c r="O7" s="14">
        <v>1.070481836215029</v>
      </c>
      <c r="P7" s="14">
        <v>1.0920824230543509</v>
      </c>
      <c r="Q7" s="14">
        <v>1.1114511080955771</v>
      </c>
      <c r="R7" s="14">
        <v>1.1289298262644087</v>
      </c>
      <c r="S7" s="14">
        <v>1.1451612205380644</v>
      </c>
      <c r="T7" s="15">
        <v>1.1595511650333048</v>
      </c>
      <c r="V7" s="13">
        <v>40</v>
      </c>
      <c r="W7" s="14">
        <v>1.0364005470004547</v>
      </c>
      <c r="X7" s="14">
        <v>1.0539752298321807</v>
      </c>
      <c r="Y7" s="14">
        <v>1.0745079387563687</v>
      </c>
      <c r="Z7" s="14">
        <v>1.0955953750315626</v>
      </c>
      <c r="AA7" s="14">
        <v>1.1154713055180874</v>
      </c>
      <c r="AB7" s="14">
        <v>1.1333240169032235</v>
      </c>
      <c r="AC7" s="14">
        <v>1.1487869012254637</v>
      </c>
      <c r="AD7" s="15">
        <v>1.1610557806728692</v>
      </c>
      <c r="AF7" s="13">
        <v>40</v>
      </c>
      <c r="AG7" s="14">
        <v>1.0441175476539322</v>
      </c>
      <c r="AH7" s="14">
        <v>1.0581194900121516</v>
      </c>
      <c r="AI7" s="14">
        <v>1.0753891425553623</v>
      </c>
      <c r="AJ7" s="14">
        <v>1.0941358927087088</v>
      </c>
      <c r="AK7" s="14">
        <v>1.1124749214305454</v>
      </c>
      <c r="AL7" s="14">
        <v>1.1288341383900462</v>
      </c>
      <c r="AM7" s="14">
        <v>1.1419966137281008</v>
      </c>
      <c r="AN7" s="15">
        <v>1.1508712833902159</v>
      </c>
      <c r="AP7" s="13">
        <v>40</v>
      </c>
      <c r="AQ7" s="14">
        <v>1.0449654378463689</v>
      </c>
      <c r="AR7" s="14">
        <v>1.0584715765495998</v>
      </c>
      <c r="AS7" s="14">
        <v>1.0735017419699764</v>
      </c>
      <c r="AT7" s="14">
        <v>1.088685746666548</v>
      </c>
      <c r="AU7" s="14">
        <v>1.1032683537818759</v>
      </c>
      <c r="AV7" s="14">
        <v>1.1170419530676932</v>
      </c>
      <c r="AW7" s="14">
        <v>1.1297477854667859</v>
      </c>
      <c r="AX7" s="15">
        <v>1.1404102061617929</v>
      </c>
      <c r="AZ7" s="13">
        <v>40</v>
      </c>
      <c r="BA7" s="14">
        <v>1.0488644488963976</v>
      </c>
      <c r="BB7" s="14">
        <v>1.0680446119271327</v>
      </c>
      <c r="BC7" s="14">
        <v>1.0850087834495146</v>
      </c>
      <c r="BD7" s="14">
        <v>1.0976008466890625</v>
      </c>
      <c r="BE7" s="14">
        <v>1.106524740344079</v>
      </c>
      <c r="BF7" s="14">
        <v>1.1143564053240531</v>
      </c>
      <c r="BG7" s="14">
        <v>1.1232128721995631</v>
      </c>
      <c r="BH7" s="15">
        <v>1.1328145255569708</v>
      </c>
      <c r="BI7" s="31"/>
      <c r="BJ7" s="31"/>
      <c r="BL7" s="50"/>
      <c r="BM7" s="51"/>
      <c r="BN7" s="51"/>
      <c r="BO7" s="41"/>
      <c r="BP7" s="41"/>
      <c r="BQ7" s="41"/>
      <c r="BR7" s="41"/>
      <c r="BS7" s="41"/>
      <c r="BT7" s="41">
        <v>7</v>
      </c>
      <c r="BU7" s="42">
        <v>1.0651913296753455</v>
      </c>
      <c r="BV7" s="42">
        <v>1.5280497843348289</v>
      </c>
      <c r="BW7" s="42">
        <v>2.1597942823351217</v>
      </c>
      <c r="BX7" s="61">
        <v>3.6878440666699506</v>
      </c>
      <c r="BY7" s="62">
        <v>0.41434772097471767</v>
      </c>
      <c r="BZ7" s="52"/>
    </row>
    <row r="8" spans="2:78" x14ac:dyDescent="0.25">
      <c r="B8" s="13">
        <v>50</v>
      </c>
      <c r="C8" s="14">
        <v>1.0359479117418096</v>
      </c>
      <c r="D8" s="14">
        <v>1.0591508706096102</v>
      </c>
      <c r="E8" s="14">
        <v>1.0827199710338462</v>
      </c>
      <c r="F8" s="14">
        <v>1.1038456261143155</v>
      </c>
      <c r="G8" s="14">
        <v>1.1218964909964826</v>
      </c>
      <c r="H8" s="14">
        <v>1.1379356300557044</v>
      </c>
      <c r="I8" s="14">
        <v>1.1529917704788533</v>
      </c>
      <c r="J8" s="15">
        <v>1.1664074279313505</v>
      </c>
      <c r="L8" s="13">
        <v>50</v>
      </c>
      <c r="M8" s="14">
        <v>1.0281968005863531</v>
      </c>
      <c r="N8" s="14">
        <v>1.0503735093354551</v>
      </c>
      <c r="O8" s="14">
        <v>1.0730621761867611</v>
      </c>
      <c r="P8" s="14">
        <v>1.093617959161773</v>
      </c>
      <c r="Q8" s="14">
        <v>1.1114516166276389</v>
      </c>
      <c r="R8" s="14">
        <v>1.1275455105213876</v>
      </c>
      <c r="S8" s="14">
        <v>1.142823383525766</v>
      </c>
      <c r="T8" s="15">
        <v>1.1566042645929782</v>
      </c>
      <c r="V8" s="13">
        <v>50</v>
      </c>
      <c r="W8" s="14">
        <v>1.0345683264641685</v>
      </c>
      <c r="X8" s="14">
        <v>1.0536356885973097</v>
      </c>
      <c r="Y8" s="14">
        <v>1.0745470861300372</v>
      </c>
      <c r="Z8" s="14">
        <v>1.0949884757125041</v>
      </c>
      <c r="AA8" s="14">
        <v>1.1137314615047271</v>
      </c>
      <c r="AB8" s="14">
        <v>1.1305998470511223</v>
      </c>
      <c r="AC8" s="14">
        <v>1.1456177395448528</v>
      </c>
      <c r="AD8" s="15">
        <v>1.1580069976516132</v>
      </c>
      <c r="AF8" s="13">
        <v>50</v>
      </c>
      <c r="AG8" s="14">
        <v>1.0412836185606866</v>
      </c>
      <c r="AH8" s="14">
        <v>1.0562876618862422</v>
      </c>
      <c r="AI8" s="14">
        <v>1.0740409532976272</v>
      </c>
      <c r="AJ8" s="14">
        <v>1.0928008081581126</v>
      </c>
      <c r="AK8" s="14">
        <v>1.1110046742669195</v>
      </c>
      <c r="AL8" s="14">
        <v>1.1274573469428073</v>
      </c>
      <c r="AM8" s="14">
        <v>1.1411423268838372</v>
      </c>
      <c r="AN8" s="15">
        <v>1.1508989758073374</v>
      </c>
      <c r="AP8" s="13">
        <v>50</v>
      </c>
      <c r="AQ8" s="14">
        <v>1.0391293088216038</v>
      </c>
      <c r="AR8" s="14">
        <v>1.0531904425273748</v>
      </c>
      <c r="AS8" s="14">
        <v>1.0686254405756161</v>
      </c>
      <c r="AT8" s="14">
        <v>1.0840778518560112</v>
      </c>
      <c r="AU8" s="14">
        <v>1.0989570051039785</v>
      </c>
      <c r="AV8" s="14">
        <v>1.1132308713748653</v>
      </c>
      <c r="AW8" s="14">
        <v>1.1266974169677468</v>
      </c>
      <c r="AX8" s="15">
        <v>1.1382876134324822</v>
      </c>
      <c r="AZ8" s="13">
        <v>50</v>
      </c>
      <c r="BA8" s="14">
        <v>1.0382984039878549</v>
      </c>
      <c r="BB8" s="14">
        <v>1.0597149319371495</v>
      </c>
      <c r="BC8" s="14">
        <v>1.0790453283968542</v>
      </c>
      <c r="BD8" s="14">
        <v>1.0938576410283096</v>
      </c>
      <c r="BE8" s="14">
        <v>1.1048709303461712</v>
      </c>
      <c r="BF8" s="14">
        <v>1.1148040117715925</v>
      </c>
      <c r="BG8" s="14">
        <v>1.1257973678258468</v>
      </c>
      <c r="BH8" s="15">
        <v>1.1373520049649892</v>
      </c>
      <c r="BI8" s="31"/>
      <c r="BJ8" s="31"/>
      <c r="BL8" s="50"/>
      <c r="BM8" s="51"/>
      <c r="BN8" s="51"/>
      <c r="BO8" s="41"/>
      <c r="BP8" s="41"/>
      <c r="BQ8" s="41"/>
      <c r="BR8" s="41"/>
      <c r="BS8" s="41"/>
      <c r="BT8" s="41">
        <v>6</v>
      </c>
      <c r="BU8" s="42">
        <v>1.0686254405756161</v>
      </c>
      <c r="BV8" s="42">
        <v>1.5334253760312451</v>
      </c>
      <c r="BW8" s="42">
        <v>2.1618291809204915</v>
      </c>
      <c r="BX8" s="61">
        <v>3.6952545569517365</v>
      </c>
      <c r="BY8" s="62">
        <v>0.41497151343646205</v>
      </c>
      <c r="BZ8" s="52"/>
    </row>
    <row r="9" spans="2:78" x14ac:dyDescent="0.25">
      <c r="B9" s="13">
        <v>60</v>
      </c>
      <c r="C9" s="14">
        <v>1.0376206995929691</v>
      </c>
      <c r="D9" s="14">
        <v>1.0618649397730591</v>
      </c>
      <c r="E9" s="14">
        <v>1.0858893890362782</v>
      </c>
      <c r="F9" s="14">
        <v>1.1069769079138576</v>
      </c>
      <c r="G9" s="14">
        <v>1.1246445325695331</v>
      </c>
      <c r="H9" s="14">
        <v>1.1399723798668342</v>
      </c>
      <c r="I9" s="14">
        <v>1.1538670045797366</v>
      </c>
      <c r="J9" s="15">
        <v>1.1655957661480603</v>
      </c>
      <c r="L9" s="13">
        <v>60</v>
      </c>
      <c r="M9" s="14">
        <v>1.0289958843557814</v>
      </c>
      <c r="N9" s="14">
        <v>1.0511127763151202</v>
      </c>
      <c r="O9" s="14">
        <v>1.0736895632803862</v>
      </c>
      <c r="P9" s="14">
        <v>1.0943240862975117</v>
      </c>
      <c r="Q9" s="14">
        <v>1.1124134816080067</v>
      </c>
      <c r="R9" s="14">
        <v>1.1285537189579236</v>
      </c>
      <c r="S9" s="14">
        <v>1.1431133409082883</v>
      </c>
      <c r="T9" s="15">
        <v>1.1551005663028142</v>
      </c>
      <c r="V9" s="13">
        <v>60</v>
      </c>
      <c r="W9" s="14">
        <v>1.0331697173891954</v>
      </c>
      <c r="X9" s="14">
        <v>1.0525138750350451</v>
      </c>
      <c r="Y9" s="14">
        <v>1.0735137152585414</v>
      </c>
      <c r="Z9" s="14">
        <v>1.0939146044965573</v>
      </c>
      <c r="AA9" s="14">
        <v>1.1124998451038144</v>
      </c>
      <c r="AB9" s="14">
        <v>1.1289641542962865</v>
      </c>
      <c r="AC9" s="14">
        <v>1.1431299660996184</v>
      </c>
      <c r="AD9" s="15">
        <v>1.1541446469918191</v>
      </c>
      <c r="AF9" s="13">
        <v>60</v>
      </c>
      <c r="AG9" s="14">
        <v>1.0372526999993863</v>
      </c>
      <c r="AH9" s="14">
        <v>1.0522330797579489</v>
      </c>
      <c r="AI9" s="14">
        <v>1.0700028802812576</v>
      </c>
      <c r="AJ9" s="14">
        <v>1.088812182334731</v>
      </c>
      <c r="AK9" s="14">
        <v>1.1070658259014834</v>
      </c>
      <c r="AL9" s="14">
        <v>1.1234774988528784</v>
      </c>
      <c r="AM9" s="14">
        <v>1.1369204196090552</v>
      </c>
      <c r="AN9" s="15">
        <v>1.146202448193675</v>
      </c>
      <c r="AP9" s="13">
        <v>60</v>
      </c>
      <c r="AQ9" s="14">
        <v>1.0328622524679878</v>
      </c>
      <c r="AR9" s="14">
        <v>1.0461845567409074</v>
      </c>
      <c r="AS9" s="14">
        <v>1.061196601213227</v>
      </c>
      <c r="AT9" s="14">
        <v>1.0764849008826225</v>
      </c>
      <c r="AU9" s="14">
        <v>1.0912515554411517</v>
      </c>
      <c r="AV9" s="14">
        <v>1.105187560483295</v>
      </c>
      <c r="AW9" s="14">
        <v>1.117912242952122</v>
      </c>
      <c r="AX9" s="15">
        <v>1.1284317135942121</v>
      </c>
      <c r="AZ9" s="13">
        <v>60</v>
      </c>
      <c r="BA9" s="14">
        <v>1.0239867637526647</v>
      </c>
      <c r="BB9" s="14">
        <v>1.0458317749051904</v>
      </c>
      <c r="BC9" s="14">
        <v>1.0668221066658283</v>
      </c>
      <c r="BD9" s="14">
        <v>1.0842287349147131</v>
      </c>
      <c r="BE9" s="14">
        <v>1.0981752826354212</v>
      </c>
      <c r="BF9" s="14">
        <v>1.1106642853171449</v>
      </c>
      <c r="BG9" s="14">
        <v>1.1232703338702672</v>
      </c>
      <c r="BH9" s="15">
        <v>1.1353080445468553</v>
      </c>
      <c r="BI9" s="31"/>
      <c r="BJ9" s="31"/>
      <c r="BL9" s="50"/>
      <c r="BM9" s="51"/>
      <c r="BN9" s="51"/>
      <c r="BO9" s="41"/>
      <c r="BP9" s="41"/>
      <c r="BQ9" s="41"/>
      <c r="BR9" s="41"/>
      <c r="BS9" s="41"/>
      <c r="BT9" s="41">
        <v>5</v>
      </c>
      <c r="BU9" s="42">
        <v>1.071223891005963</v>
      </c>
      <c r="BV9" s="42">
        <v>1.5395670851141747</v>
      </c>
      <c r="BW9" s="42">
        <v>2.1604676187675036</v>
      </c>
      <c r="BX9" s="61">
        <v>3.7000347038816783</v>
      </c>
      <c r="BY9" s="62">
        <v>0.4160953094572401</v>
      </c>
      <c r="BZ9" s="52"/>
    </row>
    <row r="10" spans="2:78" x14ac:dyDescent="0.25">
      <c r="B10" s="13">
        <v>70</v>
      </c>
      <c r="C10" s="14">
        <v>1.0364775988713626</v>
      </c>
      <c r="D10" s="14">
        <v>1.0589379123658222</v>
      </c>
      <c r="E10" s="14">
        <v>1.081937575653479</v>
      </c>
      <c r="F10" s="14">
        <v>1.1030719132319349</v>
      </c>
      <c r="G10" s="14">
        <v>1.1215969389564664</v>
      </c>
      <c r="H10" s="14">
        <v>1.1378397060198651</v>
      </c>
      <c r="I10" s="14">
        <v>1.1518767500941334</v>
      </c>
      <c r="J10" s="15">
        <v>1.1625658789128033</v>
      </c>
      <c r="L10" s="13">
        <v>70</v>
      </c>
      <c r="M10" s="14">
        <v>1.0280486752241074</v>
      </c>
      <c r="N10" s="14">
        <v>1.0475572265335269</v>
      </c>
      <c r="O10" s="14">
        <v>1.0685786520901344</v>
      </c>
      <c r="P10" s="14">
        <v>1.0891430596443388</v>
      </c>
      <c r="Q10" s="14">
        <v>1.1083272466620619</v>
      </c>
      <c r="R10" s="14">
        <v>1.1257667044592239</v>
      </c>
      <c r="S10" s="14">
        <v>1.1407539525003885</v>
      </c>
      <c r="T10" s="15">
        <v>1.1517283199477304</v>
      </c>
      <c r="V10" s="13">
        <v>70</v>
      </c>
      <c r="W10" s="14">
        <v>1.0303811055050911</v>
      </c>
      <c r="X10" s="14">
        <v>1.0478857193823967</v>
      </c>
      <c r="Y10" s="14">
        <v>1.067782526340235</v>
      </c>
      <c r="Z10" s="14">
        <v>1.0880241863847364</v>
      </c>
      <c r="AA10" s="14">
        <v>1.1071173393886906</v>
      </c>
      <c r="AB10" s="14">
        <v>1.124095515948947</v>
      </c>
      <c r="AC10" s="14">
        <v>1.1380951617176409</v>
      </c>
      <c r="AD10" s="15">
        <v>1.1479660246448344</v>
      </c>
      <c r="AF10" s="13">
        <v>70</v>
      </c>
      <c r="AG10" s="14">
        <v>1.0321105167035882</v>
      </c>
      <c r="AH10" s="14">
        <v>1.0458369530373306</v>
      </c>
      <c r="AI10" s="14">
        <v>1.0629671273894323</v>
      </c>
      <c r="AJ10" s="14">
        <v>1.0817546401541984</v>
      </c>
      <c r="AK10" s="14">
        <v>1.1003028027298043</v>
      </c>
      <c r="AL10" s="14">
        <v>1.1168480431751484</v>
      </c>
      <c r="AM10" s="14">
        <v>1.1298710141822899</v>
      </c>
      <c r="AN10" s="15">
        <v>1.1381150243160021</v>
      </c>
      <c r="AP10" s="13">
        <v>70</v>
      </c>
      <c r="AQ10" s="14">
        <v>1.0274303088641554</v>
      </c>
      <c r="AR10" s="14">
        <v>1.0389559725402364</v>
      </c>
      <c r="AS10" s="14">
        <v>1.0528896734550173</v>
      </c>
      <c r="AT10" s="14">
        <v>1.0677614589588591</v>
      </c>
      <c r="AU10" s="14">
        <v>1.0823268543829525</v>
      </c>
      <c r="AV10" s="14">
        <v>1.0956740013375958</v>
      </c>
      <c r="AW10" s="14">
        <v>1.1070346678233336</v>
      </c>
      <c r="AX10" s="15">
        <v>1.1155243815528701</v>
      </c>
      <c r="AZ10" s="13">
        <v>70</v>
      </c>
      <c r="BA10" s="14">
        <v>1.0171225554145582</v>
      </c>
      <c r="BB10" s="14">
        <v>1.0375973926249358</v>
      </c>
      <c r="BC10" s="14">
        <v>1.0585489619875208</v>
      </c>
      <c r="BD10" s="14">
        <v>1.0771442675305354</v>
      </c>
      <c r="BE10" s="14">
        <v>1.0927452490152987</v>
      </c>
      <c r="BF10" s="14">
        <v>1.1062982187376906</v>
      </c>
      <c r="BG10" s="14">
        <v>1.1186185399945512</v>
      </c>
      <c r="BH10" s="15">
        <v>1.1289994652476674</v>
      </c>
      <c r="BI10" s="31"/>
      <c r="BJ10" s="31"/>
      <c r="BL10" s="50"/>
      <c r="BM10" s="51"/>
      <c r="BN10" s="51"/>
      <c r="BO10" s="41"/>
      <c r="BP10" s="41"/>
      <c r="BQ10" s="41"/>
      <c r="BR10" s="41"/>
      <c r="BS10" s="41"/>
      <c r="BT10" s="41">
        <v>4</v>
      </c>
      <c r="BU10" s="42">
        <v>1.0730089684786286</v>
      </c>
      <c r="BV10" s="42">
        <v>1.5457600773466471</v>
      </c>
      <c r="BW10" s="42">
        <v>2.1564104543653659</v>
      </c>
      <c r="BX10" s="61">
        <v>3.7021705317120128</v>
      </c>
      <c r="BY10" s="62">
        <v>0.41752805931169079</v>
      </c>
      <c r="BZ10" s="52"/>
    </row>
    <row r="11" spans="2:78" ht="15.75" thickBot="1" x14ac:dyDescent="0.3">
      <c r="B11" s="16">
        <v>80</v>
      </c>
      <c r="C11" s="17">
        <v>1.0357246917871077</v>
      </c>
      <c r="D11" s="17">
        <v>1.0539143912732976</v>
      </c>
      <c r="E11" s="17">
        <v>1.0737782402066403</v>
      </c>
      <c r="F11" s="17">
        <v>1.0935207472943587</v>
      </c>
      <c r="G11" s="17">
        <v>1.1121949482191809</v>
      </c>
      <c r="H11" s="17">
        <v>1.1292756821444119</v>
      </c>
      <c r="I11" s="17">
        <v>1.1438681111935303</v>
      </c>
      <c r="J11" s="18">
        <v>1.1542953268031488</v>
      </c>
      <c r="L11" s="16">
        <v>80</v>
      </c>
      <c r="M11" s="17">
        <v>1.0278168683869597</v>
      </c>
      <c r="N11" s="17">
        <v>1.0428990586604063</v>
      </c>
      <c r="O11" s="17">
        <v>1.0607063966831007</v>
      </c>
      <c r="P11" s="17">
        <v>1.0799026444730375</v>
      </c>
      <c r="Q11" s="17">
        <v>1.0993683728461956</v>
      </c>
      <c r="R11" s="17">
        <v>1.1178713507246241</v>
      </c>
      <c r="S11" s="17">
        <v>1.1336887225611685</v>
      </c>
      <c r="T11" s="18">
        <v>1.1446561742939294</v>
      </c>
      <c r="V11" s="16">
        <v>80</v>
      </c>
      <c r="W11" s="17">
        <v>1.028271315135886</v>
      </c>
      <c r="X11" s="17">
        <v>1.0423282428893774</v>
      </c>
      <c r="Y11" s="17">
        <v>1.0597215621942422</v>
      </c>
      <c r="Z11" s="17">
        <v>1.07881374825301</v>
      </c>
      <c r="AA11" s="17">
        <v>1.0979100735750829</v>
      </c>
      <c r="AB11" s="17">
        <v>1.1153662142459095</v>
      </c>
      <c r="AC11" s="17">
        <v>1.129564895871078</v>
      </c>
      <c r="AD11" s="18">
        <v>1.1389531325336788</v>
      </c>
      <c r="AF11" s="16">
        <v>80</v>
      </c>
      <c r="AG11" s="17">
        <v>1.0289071257795384</v>
      </c>
      <c r="AH11" s="17">
        <v>1.0405903755451447</v>
      </c>
      <c r="AI11" s="17">
        <v>1.0563074979406348</v>
      </c>
      <c r="AJ11" s="17">
        <v>1.074403660448112</v>
      </c>
      <c r="AK11" s="17">
        <v>1.0927039151412083</v>
      </c>
      <c r="AL11" s="17">
        <v>1.1089570194969123</v>
      </c>
      <c r="AM11" s="17">
        <v>1.1212428404372059</v>
      </c>
      <c r="AN11" s="18">
        <v>1.1282469876804091</v>
      </c>
      <c r="AP11" s="16">
        <v>80</v>
      </c>
      <c r="AQ11" s="17">
        <v>1.0257803947970998</v>
      </c>
      <c r="AR11" s="17">
        <v>1.0352673295714929</v>
      </c>
      <c r="AS11" s="17">
        <v>1.0478277668247971</v>
      </c>
      <c r="AT11" s="17">
        <v>1.0620099026110947</v>
      </c>
      <c r="AU11" s="17">
        <v>1.0761608070235658</v>
      </c>
      <c r="AV11" s="17">
        <v>1.0887683306518072</v>
      </c>
      <c r="AW11" s="17">
        <v>1.0986507966822143</v>
      </c>
      <c r="AX11" s="18">
        <v>1.1049875916753289</v>
      </c>
      <c r="AZ11" s="16">
        <v>80</v>
      </c>
      <c r="BA11" s="17">
        <v>1.0234734203006859</v>
      </c>
      <c r="BB11" s="17">
        <v>1.0412963730678084</v>
      </c>
      <c r="BC11" s="17">
        <v>1.06018379534576</v>
      </c>
      <c r="BD11" s="17">
        <v>1.0775409320561173</v>
      </c>
      <c r="BE11" s="17">
        <v>1.0922630806067677</v>
      </c>
      <c r="BF11" s="17">
        <v>1.1044575407414436</v>
      </c>
      <c r="BG11" s="17">
        <v>1.1143536377772034</v>
      </c>
      <c r="BH11" s="18">
        <v>1.1213843685525648</v>
      </c>
      <c r="BI11" s="31"/>
      <c r="BJ11" s="31"/>
      <c r="BL11" s="50"/>
      <c r="BM11" s="51"/>
      <c r="BN11" s="51"/>
      <c r="BO11" s="41"/>
      <c r="BP11" s="41"/>
      <c r="BQ11" s="41"/>
      <c r="BR11" s="41"/>
      <c r="BS11" s="41"/>
      <c r="BT11" s="41">
        <v>3</v>
      </c>
      <c r="BU11" s="42">
        <v>1.0740409532976272</v>
      </c>
      <c r="BV11" s="42">
        <v>1.551036636418003</v>
      </c>
      <c r="BW11" s="42">
        <v>2.1504171126188831</v>
      </c>
      <c r="BX11" s="61">
        <v>3.7014537490368862</v>
      </c>
      <c r="BY11" s="62">
        <v>0.41903445013235163</v>
      </c>
      <c r="BZ11" s="52"/>
    </row>
    <row r="12" spans="2:78" ht="15.75" thickBot="1" x14ac:dyDescent="0.3">
      <c r="BL12" s="50"/>
      <c r="BM12" s="51"/>
      <c r="BN12" s="51"/>
      <c r="BO12" s="41"/>
      <c r="BP12" s="41"/>
      <c r="BQ12" s="41"/>
      <c r="BR12" s="41"/>
      <c r="BS12" s="41"/>
      <c r="BT12" s="41">
        <v>2</v>
      </c>
      <c r="BU12" s="42">
        <v>1.074407231109199</v>
      </c>
      <c r="BV12" s="42">
        <v>1.5542291800996235</v>
      </c>
      <c r="BW12" s="42">
        <v>2.1432192545188835</v>
      </c>
      <c r="BX12" s="61">
        <v>3.697448434618507</v>
      </c>
      <c r="BY12" s="62">
        <v>0.4203518203384991</v>
      </c>
      <c r="BZ12" s="52"/>
    </row>
    <row r="13" spans="2:78" x14ac:dyDescent="0.25">
      <c r="B13" s="5" t="s">
        <v>12</v>
      </c>
      <c r="C13" s="6" t="s">
        <v>10</v>
      </c>
      <c r="D13" s="7"/>
      <c r="E13" s="8"/>
      <c r="F13" s="8"/>
      <c r="G13" s="8"/>
      <c r="H13" s="8"/>
      <c r="I13" s="8"/>
      <c r="J13" s="9"/>
      <c r="L13" s="5" t="s">
        <v>12</v>
      </c>
      <c r="M13" s="6" t="s">
        <v>10</v>
      </c>
      <c r="N13" s="7"/>
      <c r="O13" s="8"/>
      <c r="P13" s="8"/>
      <c r="Q13" s="8"/>
      <c r="R13" s="8"/>
      <c r="S13" s="8"/>
      <c r="T13" s="9"/>
      <c r="V13" s="5" t="s">
        <v>12</v>
      </c>
      <c r="W13" s="6" t="s">
        <v>10</v>
      </c>
      <c r="X13" s="7"/>
      <c r="Y13" s="8"/>
      <c r="Z13" s="8"/>
      <c r="AA13" s="8"/>
      <c r="AB13" s="8"/>
      <c r="AC13" s="8"/>
      <c r="AD13" s="9"/>
      <c r="AF13" s="5" t="s">
        <v>12</v>
      </c>
      <c r="AG13" s="6" t="s">
        <v>10</v>
      </c>
      <c r="AH13" s="7"/>
      <c r="AI13" s="8"/>
      <c r="AJ13" s="8"/>
      <c r="AK13" s="8"/>
      <c r="AL13" s="8"/>
      <c r="AM13" s="8"/>
      <c r="AN13" s="9"/>
      <c r="AP13" s="5" t="s">
        <v>12</v>
      </c>
      <c r="AQ13" s="6" t="s">
        <v>10</v>
      </c>
      <c r="AR13" s="7"/>
      <c r="AS13" s="8"/>
      <c r="AT13" s="8"/>
      <c r="AU13" s="8"/>
      <c r="AV13" s="8"/>
      <c r="AW13" s="8"/>
      <c r="AX13" s="9"/>
      <c r="AZ13" s="5" t="s">
        <v>12</v>
      </c>
      <c r="BA13" s="6" t="s">
        <v>10</v>
      </c>
      <c r="BB13" s="7"/>
      <c r="BC13" s="8"/>
      <c r="BD13" s="8"/>
      <c r="BE13" s="8"/>
      <c r="BF13" s="8"/>
      <c r="BG13" s="8"/>
      <c r="BH13" s="9"/>
      <c r="BI13" s="65"/>
      <c r="BJ13" s="65"/>
      <c r="BL13" s="50"/>
      <c r="BM13" s="51"/>
      <c r="BN13" s="51"/>
      <c r="BO13" s="41"/>
      <c r="BP13" s="41"/>
      <c r="BQ13" s="41"/>
      <c r="BR13" s="41"/>
      <c r="BS13" s="41"/>
      <c r="BT13" s="41">
        <v>1</v>
      </c>
      <c r="BU13" s="42">
        <v>1.0742099117515527</v>
      </c>
      <c r="BV13" s="42">
        <v>1.5540540255503226</v>
      </c>
      <c r="BW13" s="42">
        <v>2.1354387070577987</v>
      </c>
      <c r="BX13" s="61">
        <v>3.6894927326081213</v>
      </c>
      <c r="BY13" s="62">
        <v>0.42121075664831403</v>
      </c>
      <c r="BZ13" s="52"/>
    </row>
    <row r="14" spans="2:78" x14ac:dyDescent="0.25">
      <c r="B14" s="10" t="s">
        <v>11</v>
      </c>
      <c r="C14" s="11">
        <v>30</v>
      </c>
      <c r="D14" s="11">
        <v>40</v>
      </c>
      <c r="E14" s="11">
        <v>50</v>
      </c>
      <c r="F14" s="11">
        <v>60</v>
      </c>
      <c r="G14" s="11">
        <v>70</v>
      </c>
      <c r="H14" s="11">
        <v>80</v>
      </c>
      <c r="I14" s="11">
        <v>90</v>
      </c>
      <c r="J14" s="12">
        <v>100</v>
      </c>
      <c r="L14" s="10" t="s">
        <v>11</v>
      </c>
      <c r="M14" s="11">
        <v>30</v>
      </c>
      <c r="N14" s="11">
        <v>40</v>
      </c>
      <c r="O14" s="11">
        <v>50</v>
      </c>
      <c r="P14" s="11">
        <v>60</v>
      </c>
      <c r="Q14" s="11">
        <v>70</v>
      </c>
      <c r="R14" s="11">
        <v>80</v>
      </c>
      <c r="S14" s="11">
        <v>90</v>
      </c>
      <c r="T14" s="12">
        <v>100</v>
      </c>
      <c r="V14" s="10" t="s">
        <v>11</v>
      </c>
      <c r="W14" s="11">
        <v>30</v>
      </c>
      <c r="X14" s="11">
        <v>40</v>
      </c>
      <c r="Y14" s="11">
        <v>50</v>
      </c>
      <c r="Z14" s="11">
        <v>60</v>
      </c>
      <c r="AA14" s="11">
        <v>70</v>
      </c>
      <c r="AB14" s="11">
        <v>80</v>
      </c>
      <c r="AC14" s="11">
        <v>90</v>
      </c>
      <c r="AD14" s="12">
        <v>100</v>
      </c>
      <c r="AF14" s="10" t="s">
        <v>11</v>
      </c>
      <c r="AG14" s="11">
        <v>30</v>
      </c>
      <c r="AH14" s="11">
        <v>40</v>
      </c>
      <c r="AI14" s="11">
        <v>50</v>
      </c>
      <c r="AJ14" s="11">
        <v>60</v>
      </c>
      <c r="AK14" s="11">
        <v>70</v>
      </c>
      <c r="AL14" s="11">
        <v>80</v>
      </c>
      <c r="AM14" s="11">
        <v>90</v>
      </c>
      <c r="AN14" s="12">
        <v>100</v>
      </c>
      <c r="AP14" s="10" t="s">
        <v>11</v>
      </c>
      <c r="AQ14" s="11">
        <v>30</v>
      </c>
      <c r="AR14" s="11">
        <v>40</v>
      </c>
      <c r="AS14" s="11">
        <v>50</v>
      </c>
      <c r="AT14" s="11">
        <v>60</v>
      </c>
      <c r="AU14" s="11">
        <v>70</v>
      </c>
      <c r="AV14" s="11">
        <v>80</v>
      </c>
      <c r="AW14" s="11">
        <v>90</v>
      </c>
      <c r="AX14" s="12">
        <v>100</v>
      </c>
      <c r="AZ14" s="10" t="s">
        <v>11</v>
      </c>
      <c r="BA14" s="11">
        <v>30</v>
      </c>
      <c r="BB14" s="11">
        <v>40</v>
      </c>
      <c r="BC14" s="11">
        <v>50</v>
      </c>
      <c r="BD14" s="11">
        <v>60</v>
      </c>
      <c r="BE14" s="11">
        <v>70</v>
      </c>
      <c r="BF14" s="11">
        <v>80</v>
      </c>
      <c r="BG14" s="11">
        <v>90</v>
      </c>
      <c r="BH14" s="12">
        <v>100</v>
      </c>
      <c r="BI14" s="65"/>
      <c r="BJ14" s="65"/>
      <c r="BL14" s="50"/>
      <c r="BM14" s="51"/>
      <c r="BN14" s="51"/>
      <c r="BO14" s="41"/>
      <c r="BP14" s="41"/>
      <c r="BQ14" s="41"/>
      <c r="BR14" s="41"/>
      <c r="BS14" s="41"/>
      <c r="BT14" s="41">
        <v>0</v>
      </c>
      <c r="BU14" s="42">
        <v>1.0735534669134998</v>
      </c>
      <c r="BV14" s="42">
        <v>1.5492202316541637</v>
      </c>
      <c r="BW14" s="42">
        <v>2.1275194224311953</v>
      </c>
      <c r="BX14" s="61">
        <v>3.6767396540853587</v>
      </c>
      <c r="BY14" s="62">
        <v>0.42135706560913794</v>
      </c>
      <c r="BZ14" s="52"/>
    </row>
    <row r="15" spans="2:78" x14ac:dyDescent="0.25">
      <c r="B15" s="13">
        <v>30</v>
      </c>
      <c r="C15" s="14">
        <v>1.8101191211465175</v>
      </c>
      <c r="D15" s="14">
        <v>1.9444399955914125</v>
      </c>
      <c r="E15" s="14">
        <v>2.0847558522588905</v>
      </c>
      <c r="F15" s="14">
        <v>2.2219646137145581</v>
      </c>
      <c r="G15" s="14">
        <v>2.350354884143639</v>
      </c>
      <c r="H15" s="14">
        <v>2.4656376705182343</v>
      </c>
      <c r="I15" s="14">
        <v>2.5600189727010458</v>
      </c>
      <c r="J15" s="15">
        <v>2.6190354151983417</v>
      </c>
      <c r="L15" s="13">
        <v>30</v>
      </c>
      <c r="M15" s="14">
        <v>1.8141826422612177</v>
      </c>
      <c r="N15" s="14">
        <v>1.9783537960112629</v>
      </c>
      <c r="O15" s="14">
        <v>2.141898647872539</v>
      </c>
      <c r="P15" s="14">
        <v>2.2899134339544731</v>
      </c>
      <c r="Q15" s="14">
        <v>2.4157299254962648</v>
      </c>
      <c r="R15" s="14">
        <v>2.518814539591983</v>
      </c>
      <c r="S15" s="14">
        <v>2.5973465405880365</v>
      </c>
      <c r="T15" s="15">
        <v>2.641968672748197</v>
      </c>
      <c r="V15" s="13">
        <v>30</v>
      </c>
      <c r="W15" s="14">
        <v>1.8862123317855861</v>
      </c>
      <c r="X15" s="14">
        <v>2.0221750162441494</v>
      </c>
      <c r="Y15" s="14">
        <v>2.1538801347729608</v>
      </c>
      <c r="Z15" s="14">
        <v>2.2714999686651565</v>
      </c>
      <c r="AA15" s="14">
        <v>2.3722345484965657</v>
      </c>
      <c r="AB15" s="14">
        <v>2.4581310283115099</v>
      </c>
      <c r="AC15" s="14">
        <v>2.5289302408449701</v>
      </c>
      <c r="AD15" s="15">
        <v>2.5756592988654292</v>
      </c>
      <c r="AF15" s="13">
        <v>30</v>
      </c>
      <c r="AG15" s="14">
        <v>1.9222062110721367</v>
      </c>
      <c r="AH15" s="14">
        <v>2.0174577961357079</v>
      </c>
      <c r="AI15" s="14">
        <v>2.1047353386509289</v>
      </c>
      <c r="AJ15" s="14">
        <v>2.1799833221336096</v>
      </c>
      <c r="AK15" s="14">
        <v>2.2432628979922962</v>
      </c>
      <c r="AL15" s="14">
        <v>2.2969461944888132</v>
      </c>
      <c r="AM15" s="14">
        <v>2.340861687061297</v>
      </c>
      <c r="AN15" s="15">
        <v>2.3679781701865532</v>
      </c>
      <c r="AP15" s="13">
        <v>30</v>
      </c>
      <c r="AQ15" s="14">
        <v>1.9078226100762561</v>
      </c>
      <c r="AR15" s="14">
        <v>2.0342736359786864</v>
      </c>
      <c r="AS15" s="14">
        <v>2.1455640993216565</v>
      </c>
      <c r="AT15" s="14">
        <v>2.2288130872781369</v>
      </c>
      <c r="AU15" s="14">
        <v>2.2807044082368573</v>
      </c>
      <c r="AV15" s="14">
        <v>2.3072065599899543</v>
      </c>
      <c r="AW15" s="14">
        <v>2.3169705161751715</v>
      </c>
      <c r="AX15" s="15">
        <v>2.3130960411525363</v>
      </c>
      <c r="AZ15" s="13">
        <v>30</v>
      </c>
      <c r="BA15" s="14">
        <v>1.7738681270971852</v>
      </c>
      <c r="BB15" s="14">
        <v>1.9086166055563734</v>
      </c>
      <c r="BC15" s="14">
        <v>2.0532599329864882</v>
      </c>
      <c r="BD15" s="14">
        <v>2.1908223428184241</v>
      </c>
      <c r="BE15" s="14">
        <v>2.3030729788351909</v>
      </c>
      <c r="BF15" s="14">
        <v>2.374677835211676</v>
      </c>
      <c r="BG15" s="14">
        <v>2.3962945197351289</v>
      </c>
      <c r="BH15" s="15">
        <v>2.36591017994557</v>
      </c>
      <c r="BI15" s="31"/>
      <c r="BJ15" s="31"/>
      <c r="BL15" s="50"/>
      <c r="BM15" s="51"/>
      <c r="BN15" s="51"/>
      <c r="BO15" s="41"/>
      <c r="BP15" s="41"/>
      <c r="BQ15" s="41"/>
      <c r="BR15" s="41"/>
      <c r="BS15" s="41"/>
      <c r="BT15" s="41">
        <v>-1</v>
      </c>
      <c r="BU15" s="42">
        <v>1.0725338285689956</v>
      </c>
      <c r="BV15" s="42">
        <v>1.5385540682015086</v>
      </c>
      <c r="BW15" s="42">
        <v>2.1196817138862669</v>
      </c>
      <c r="BX15" s="61">
        <v>3.6582357820877753</v>
      </c>
      <c r="BY15" s="62">
        <v>0.42057269127782881</v>
      </c>
      <c r="BZ15" s="52"/>
    </row>
    <row r="16" spans="2:78" x14ac:dyDescent="0.25">
      <c r="B16" s="13">
        <v>40</v>
      </c>
      <c r="C16" s="14">
        <v>1.5501944838151862</v>
      </c>
      <c r="D16" s="14">
        <v>1.6787490303087256</v>
      </c>
      <c r="E16" s="14">
        <v>1.8164214237073641</v>
      </c>
      <c r="F16" s="14">
        <v>1.9523195633477728</v>
      </c>
      <c r="G16" s="14">
        <v>2.0824064855867017</v>
      </c>
      <c r="H16" s="14">
        <v>2.2062051651705037</v>
      </c>
      <c r="I16" s="14">
        <v>2.318996783821786</v>
      </c>
      <c r="J16" s="15">
        <v>2.4063701372309261</v>
      </c>
      <c r="L16" s="13">
        <v>40</v>
      </c>
      <c r="M16" s="14">
        <v>1.5210326583731817</v>
      </c>
      <c r="N16" s="14">
        <v>1.6657222437246957</v>
      </c>
      <c r="O16" s="14">
        <v>1.819130317084928</v>
      </c>
      <c r="P16" s="14">
        <v>1.9664530263702273</v>
      </c>
      <c r="Q16" s="14">
        <v>2.1021540550060838</v>
      </c>
      <c r="R16" s="14">
        <v>2.226951812147421</v>
      </c>
      <c r="S16" s="14">
        <v>2.3386713227564573</v>
      </c>
      <c r="T16" s="15">
        <v>2.4249324560015739</v>
      </c>
      <c r="V16" s="13">
        <v>40</v>
      </c>
      <c r="W16" s="14">
        <v>1.6026149381263251</v>
      </c>
      <c r="X16" s="14">
        <v>1.724502312882354</v>
      </c>
      <c r="Y16" s="14">
        <v>1.8547924587876774</v>
      </c>
      <c r="Z16" s="14">
        <v>1.9812160453279981</v>
      </c>
      <c r="AA16" s="14">
        <v>2.0985503325741859</v>
      </c>
      <c r="AB16" s="14">
        <v>2.207375961001536</v>
      </c>
      <c r="AC16" s="14">
        <v>2.3066360365556857</v>
      </c>
      <c r="AD16" s="15">
        <v>2.386254183079151</v>
      </c>
      <c r="AF16" s="13">
        <v>40</v>
      </c>
      <c r="AG16" s="14">
        <v>1.689948061044644</v>
      </c>
      <c r="AH16" s="14">
        <v>1.7745224935324708</v>
      </c>
      <c r="AI16" s="14">
        <v>1.865657732330666</v>
      </c>
      <c r="AJ16" s="14">
        <v>1.9564586299959141</v>
      </c>
      <c r="AK16" s="14">
        <v>2.0427809700471178</v>
      </c>
      <c r="AL16" s="14">
        <v>2.1233044438969264</v>
      </c>
      <c r="AM16" s="14">
        <v>2.1955669957075656</v>
      </c>
      <c r="AN16" s="15">
        <v>2.2512928184879897</v>
      </c>
      <c r="AP16" s="13">
        <v>40</v>
      </c>
      <c r="AQ16" s="14">
        <v>1.6535158828910088</v>
      </c>
      <c r="AR16" s="14">
        <v>1.7615833819106961</v>
      </c>
      <c r="AS16" s="14">
        <v>1.8716532681687779</v>
      </c>
      <c r="AT16" s="14">
        <v>1.9690247296161298</v>
      </c>
      <c r="AU16" s="14">
        <v>2.046361173761706</v>
      </c>
      <c r="AV16" s="14">
        <v>2.1053644389455477</v>
      </c>
      <c r="AW16" s="14">
        <v>2.1513024705581731</v>
      </c>
      <c r="AX16" s="15">
        <v>2.1846848391760187</v>
      </c>
      <c r="AZ16" s="13">
        <v>40</v>
      </c>
      <c r="BA16" s="14">
        <v>1.5428404328397489</v>
      </c>
      <c r="BB16" s="14">
        <v>1.6672549024884489</v>
      </c>
      <c r="BC16" s="14">
        <v>1.8059986950178837</v>
      </c>
      <c r="BD16" s="14">
        <v>1.941259775766464</v>
      </c>
      <c r="BE16" s="14">
        <v>2.0564275374965924</v>
      </c>
      <c r="BF16" s="14">
        <v>2.139356133793199</v>
      </c>
      <c r="BG16" s="14">
        <v>2.1831574674516543</v>
      </c>
      <c r="BH16" s="15">
        <v>2.1854331332503172</v>
      </c>
      <c r="BI16" s="31"/>
      <c r="BJ16" s="31"/>
      <c r="BL16" s="50"/>
      <c r="BM16" s="51"/>
      <c r="BN16" s="51"/>
      <c r="BO16" s="41"/>
      <c r="BP16" s="41"/>
      <c r="BQ16" s="41"/>
      <c r="BR16" s="41"/>
      <c r="BS16" s="41"/>
      <c r="BT16" s="41">
        <v>-2</v>
      </c>
      <c r="BU16" s="42">
        <v>1.0712301352253257</v>
      </c>
      <c r="BV16" s="42">
        <v>1.5211267669761068</v>
      </c>
      <c r="BW16" s="42">
        <v>2.1119043804532103</v>
      </c>
      <c r="BX16" s="61">
        <v>3.6330311474293171</v>
      </c>
      <c r="BY16" s="62">
        <v>0.41869356612932845</v>
      </c>
      <c r="BZ16" s="52"/>
    </row>
    <row r="17" spans="2:78" x14ac:dyDescent="0.25">
      <c r="B17" s="13">
        <v>50</v>
      </c>
      <c r="C17" s="14">
        <v>1.282181801475911</v>
      </c>
      <c r="D17" s="14">
        <v>1.4128829244575742</v>
      </c>
      <c r="E17" s="14">
        <v>1.554411542932099</v>
      </c>
      <c r="F17" s="14">
        <v>1.6898910611837619</v>
      </c>
      <c r="G17" s="14">
        <v>1.8132125609011527</v>
      </c>
      <c r="H17" s="14">
        <v>1.9262021557402935</v>
      </c>
      <c r="I17" s="14">
        <v>2.0292718701150356</v>
      </c>
      <c r="J17" s="15">
        <v>2.1136784868145337</v>
      </c>
      <c r="L17" s="13">
        <v>50</v>
      </c>
      <c r="M17" s="14">
        <v>1.2360015309493926</v>
      </c>
      <c r="N17" s="14">
        <v>1.3693700380800857</v>
      </c>
      <c r="O17" s="14">
        <v>1.5183579758499153</v>
      </c>
      <c r="P17" s="14">
        <v>1.6637893531250556</v>
      </c>
      <c r="Q17" s="14">
        <v>1.7972881760168722</v>
      </c>
      <c r="R17" s="14">
        <v>1.9194019539494953</v>
      </c>
      <c r="S17" s="14">
        <v>2.0302539243445095</v>
      </c>
      <c r="T17" s="15">
        <v>2.1211071130155021</v>
      </c>
      <c r="V17" s="13">
        <v>50</v>
      </c>
      <c r="W17" s="14">
        <v>1.286829009697479</v>
      </c>
      <c r="X17" s="14">
        <v>1.3992502797398048</v>
      </c>
      <c r="Y17" s="14">
        <v>1.5330476006894422</v>
      </c>
      <c r="Z17" s="14">
        <v>1.6696603676834627</v>
      </c>
      <c r="AA17" s="14">
        <v>1.7975366954238527</v>
      </c>
      <c r="AB17" s="14">
        <v>1.9136477424345835</v>
      </c>
      <c r="AC17" s="14">
        <v>2.0173384547117621</v>
      </c>
      <c r="AD17" s="15">
        <v>2.1023129633087825</v>
      </c>
      <c r="AF17" s="13">
        <v>50</v>
      </c>
      <c r="AG17" s="14">
        <v>1.3783697691385974</v>
      </c>
      <c r="AH17" s="14">
        <v>1.4522775580696159</v>
      </c>
      <c r="AI17" s="14">
        <v>1.551036636418003</v>
      </c>
      <c r="AJ17" s="14">
        <v>1.6621520773878133</v>
      </c>
      <c r="AK17" s="14">
        <v>1.7739136970088878</v>
      </c>
      <c r="AL17" s="14">
        <v>1.8787301037776298</v>
      </c>
      <c r="AM17" s="14">
        <v>1.9713932098350104</v>
      </c>
      <c r="AN17" s="15">
        <v>2.0446161384417625</v>
      </c>
      <c r="AP17" s="13">
        <v>50</v>
      </c>
      <c r="AQ17" s="14">
        <v>1.3364754457579973</v>
      </c>
      <c r="AR17" s="14">
        <v>1.4236221335375592</v>
      </c>
      <c r="AS17" s="14">
        <v>1.5334253760312451</v>
      </c>
      <c r="AT17" s="14">
        <v>1.6477297275125797</v>
      </c>
      <c r="AU17" s="14">
        <v>1.7525344886442737</v>
      </c>
      <c r="AV17" s="14">
        <v>1.8426949585487407</v>
      </c>
      <c r="AW17" s="14">
        <v>1.9189691334093975</v>
      </c>
      <c r="AX17" s="15">
        <v>1.9805208749038288</v>
      </c>
      <c r="AZ17" s="13">
        <v>50</v>
      </c>
      <c r="BA17" s="14">
        <v>1.2532602937816297</v>
      </c>
      <c r="BB17" s="14">
        <v>1.3628158821837961</v>
      </c>
      <c r="BC17" s="14">
        <v>1.4922640951420527</v>
      </c>
      <c r="BD17" s="14">
        <v>1.6221068642088943</v>
      </c>
      <c r="BE17" s="14">
        <v>1.7368371125274353</v>
      </c>
      <c r="BF17" s="14">
        <v>1.8276892254357899</v>
      </c>
      <c r="BG17" s="14">
        <v>1.8911290971619477</v>
      </c>
      <c r="BH17" s="15">
        <v>1.925614842989031</v>
      </c>
      <c r="BI17" s="31"/>
      <c r="BJ17" s="31"/>
      <c r="BL17" s="50"/>
      <c r="BM17" s="51"/>
      <c r="BN17" s="51"/>
      <c r="BO17" s="41"/>
      <c r="BP17" s="41"/>
      <c r="BQ17" s="41"/>
      <c r="BR17" s="41"/>
      <c r="BS17" s="41"/>
      <c r="BT17" s="41">
        <v>-3</v>
      </c>
      <c r="BU17" s="42">
        <v>1.0696999128411109</v>
      </c>
      <c r="BV17" s="42">
        <v>1.4963716865857402</v>
      </c>
      <c r="BW17" s="42">
        <v>2.1039369216838866</v>
      </c>
      <c r="BX17" s="61">
        <v>3.6003086082696267</v>
      </c>
      <c r="BY17" s="62">
        <v>0.41562317273266286</v>
      </c>
      <c r="BZ17" s="52"/>
    </row>
    <row r="18" spans="2:78" x14ac:dyDescent="0.25">
      <c r="B18" s="13">
        <v>60</v>
      </c>
      <c r="C18" s="14">
        <v>1.0164606024220129</v>
      </c>
      <c r="D18" s="14">
        <v>1.1448902664768379</v>
      </c>
      <c r="E18" s="14">
        <v>1.2915402433056677</v>
      </c>
      <c r="F18" s="14">
        <v>1.4332972160561814</v>
      </c>
      <c r="G18" s="14">
        <v>1.5586282550661188</v>
      </c>
      <c r="H18" s="14">
        <v>1.6666923694790325</v>
      </c>
      <c r="I18" s="14">
        <v>1.75904215655811</v>
      </c>
      <c r="J18" s="15">
        <v>1.8317439123739139</v>
      </c>
      <c r="L18" s="13">
        <v>60</v>
      </c>
      <c r="M18" s="14">
        <v>0.97336059040377254</v>
      </c>
      <c r="N18" s="14">
        <v>1.0964959119538975</v>
      </c>
      <c r="O18" s="14">
        <v>1.2448043648170686</v>
      </c>
      <c r="P18" s="14">
        <v>1.3937433468489131</v>
      </c>
      <c r="Q18" s="14">
        <v>1.5290114104475341</v>
      </c>
      <c r="R18" s="14">
        <v>1.6471358811481602</v>
      </c>
      <c r="S18" s="14">
        <v>1.7481002426502283</v>
      </c>
      <c r="T18" s="15">
        <v>1.8274609226062206</v>
      </c>
      <c r="V18" s="13">
        <v>60</v>
      </c>
      <c r="W18" s="14">
        <v>0.98374481463283026</v>
      </c>
      <c r="X18" s="14">
        <v>1.0851185842631059</v>
      </c>
      <c r="Y18" s="14">
        <v>1.2217011846078534</v>
      </c>
      <c r="Z18" s="14">
        <v>1.3687803332824102</v>
      </c>
      <c r="AA18" s="14">
        <v>1.5072994807821756</v>
      </c>
      <c r="AB18" s="14">
        <v>1.6285217066632764</v>
      </c>
      <c r="AC18" s="14">
        <v>1.7304225763985626</v>
      </c>
      <c r="AD18" s="15">
        <v>1.8103959196434876</v>
      </c>
      <c r="AF18" s="13">
        <v>60</v>
      </c>
      <c r="AG18" s="14">
        <v>1.0662884395568837</v>
      </c>
      <c r="AH18" s="14">
        <v>1.1272634385191649</v>
      </c>
      <c r="AI18" s="14">
        <v>1.2302117293023931</v>
      </c>
      <c r="AJ18" s="14">
        <v>1.3574697249338934</v>
      </c>
      <c r="AK18" s="14">
        <v>1.4900171379118554</v>
      </c>
      <c r="AL18" s="14">
        <v>1.6138393108047011</v>
      </c>
      <c r="AM18" s="14">
        <v>1.7206970143666602</v>
      </c>
      <c r="AN18" s="15">
        <v>1.8044965219897025</v>
      </c>
      <c r="AP18" s="13">
        <v>60</v>
      </c>
      <c r="AQ18" s="14">
        <v>1.0400778021775252</v>
      </c>
      <c r="AR18" s="14">
        <v>1.1052763515198463</v>
      </c>
      <c r="AS18" s="14">
        <v>1.210903730082344</v>
      </c>
      <c r="AT18" s="14">
        <v>1.3362104282684457</v>
      </c>
      <c r="AU18" s="14">
        <v>1.4614377198128745</v>
      </c>
      <c r="AV18" s="14">
        <v>1.5749753484537985</v>
      </c>
      <c r="AW18" s="14">
        <v>1.6730107783096437</v>
      </c>
      <c r="AX18" s="15">
        <v>1.7535300022054581</v>
      </c>
      <c r="AZ18" s="13">
        <v>60</v>
      </c>
      <c r="BA18" s="14">
        <v>0.98561741355300714</v>
      </c>
      <c r="BB18" s="14">
        <v>1.0767510119305082</v>
      </c>
      <c r="BC18" s="14">
        <v>1.1944073527590602</v>
      </c>
      <c r="BD18" s="14">
        <v>1.3176158063207875</v>
      </c>
      <c r="BE18" s="14">
        <v>1.4308761830918495</v>
      </c>
      <c r="BF18" s="14">
        <v>1.5270410859004715</v>
      </c>
      <c r="BG18" s="14">
        <v>1.6046531743751036</v>
      </c>
      <c r="BH18" s="15">
        <v>1.6631467423512025</v>
      </c>
      <c r="BI18" s="31"/>
      <c r="BJ18" s="31"/>
      <c r="BL18" s="50"/>
      <c r="BM18" s="51"/>
      <c r="BN18" s="51"/>
      <c r="BO18" s="41"/>
      <c r="BP18" s="41"/>
      <c r="BQ18" s="41"/>
      <c r="BR18" s="41"/>
      <c r="BS18" s="41"/>
      <c r="BT18" s="41">
        <v>-4</v>
      </c>
      <c r="BU18" s="42">
        <v>1.0679779910014866</v>
      </c>
      <c r="BV18" s="42">
        <v>1.4641771884286818</v>
      </c>
      <c r="BW18" s="42">
        <v>2.0953403134307935</v>
      </c>
      <c r="BX18" s="61">
        <v>3.5595175018594754</v>
      </c>
      <c r="BY18" s="62">
        <v>0.41134147750749994</v>
      </c>
      <c r="BZ18" s="52"/>
    </row>
    <row r="19" spans="2:78" x14ac:dyDescent="0.25">
      <c r="B19" s="13">
        <v>70</v>
      </c>
      <c r="C19" s="14">
        <v>0.77380995083502335</v>
      </c>
      <c r="D19" s="14">
        <v>0.87479506139653229</v>
      </c>
      <c r="E19" s="14">
        <v>1.0070247459832156</v>
      </c>
      <c r="F19" s="14">
        <v>1.1467690063985529</v>
      </c>
      <c r="G19" s="14">
        <v>1.2783337820096092</v>
      </c>
      <c r="H19" s="14">
        <v>1.3949608595397365</v>
      </c>
      <c r="I19" s="14">
        <v>1.493548558760051</v>
      </c>
      <c r="J19" s="15">
        <v>1.5693854789622712</v>
      </c>
      <c r="L19" s="13">
        <v>70</v>
      </c>
      <c r="M19" s="14">
        <v>0.7472290844482381</v>
      </c>
      <c r="N19" s="14">
        <v>0.84062009170941154</v>
      </c>
      <c r="O19" s="14">
        <v>0.9711563007892543</v>
      </c>
      <c r="P19" s="14">
        <v>1.1142807893570441</v>
      </c>
      <c r="Q19" s="14">
        <v>1.2519677988900111</v>
      </c>
      <c r="R19" s="14">
        <v>1.3750152273040617</v>
      </c>
      <c r="S19" s="14">
        <v>1.4788255984762939</v>
      </c>
      <c r="T19" s="15">
        <v>1.5583400967124856</v>
      </c>
      <c r="V19" s="13">
        <v>70</v>
      </c>
      <c r="W19" s="14">
        <v>0.7399397992742327</v>
      </c>
      <c r="X19" s="14">
        <v>0.81340102691216765</v>
      </c>
      <c r="Y19" s="14">
        <v>0.93370160182618411</v>
      </c>
      <c r="Z19" s="14">
        <v>1.0758011114596944</v>
      </c>
      <c r="AA19" s="14">
        <v>1.2174146072051253</v>
      </c>
      <c r="AB19" s="14">
        <v>1.3450740034330606</v>
      </c>
      <c r="AC19" s="14">
        <v>1.4529813010675725</v>
      </c>
      <c r="AD19" s="15">
        <v>1.5379281223310859</v>
      </c>
      <c r="AF19" s="13">
        <v>70</v>
      </c>
      <c r="AG19" s="14">
        <v>0.83373690716351856</v>
      </c>
      <c r="AH19" s="14">
        <v>0.87147940244376354</v>
      </c>
      <c r="AI19" s="14">
        <v>0.96082263547394997</v>
      </c>
      <c r="AJ19" s="14">
        <v>1.0835004552696481</v>
      </c>
      <c r="AK19" s="14">
        <v>1.2183184702758418</v>
      </c>
      <c r="AL19" s="14">
        <v>1.3484696991008056</v>
      </c>
      <c r="AM19" s="14">
        <v>1.4636453018438533</v>
      </c>
      <c r="AN19" s="15">
        <v>1.5574994045818089</v>
      </c>
      <c r="AP19" s="13">
        <v>70</v>
      </c>
      <c r="AQ19" s="14">
        <v>0.8343593900271864</v>
      </c>
      <c r="AR19" s="14">
        <v>0.86998224061280705</v>
      </c>
      <c r="AS19" s="14">
        <v>0.95451332971491265</v>
      </c>
      <c r="AT19" s="14">
        <v>1.0690309435792875</v>
      </c>
      <c r="AU19" s="14">
        <v>1.1935116773384054</v>
      </c>
      <c r="AV19" s="14">
        <v>1.3141371979401817</v>
      </c>
      <c r="AW19" s="14">
        <v>1.4241271546490017</v>
      </c>
      <c r="AX19" s="15">
        <v>1.5193676956234636</v>
      </c>
      <c r="AZ19" s="13">
        <v>70</v>
      </c>
      <c r="BA19" s="14">
        <v>0.80538691616204039</v>
      </c>
      <c r="BB19" s="14">
        <v>0.8668071401979891</v>
      </c>
      <c r="BC19" s="14">
        <v>0.95923535407753291</v>
      </c>
      <c r="BD19" s="14">
        <v>1.0631526243659726</v>
      </c>
      <c r="BE19" s="14">
        <v>1.1641344000419405</v>
      </c>
      <c r="BF19" s="14">
        <v>1.2558883370084717</v>
      </c>
      <c r="BG19" s="14">
        <v>1.3376401987050599</v>
      </c>
      <c r="BH19" s="15">
        <v>1.4091928901842175</v>
      </c>
      <c r="BI19" s="31"/>
      <c r="BJ19" s="31"/>
      <c r="BL19" s="50"/>
      <c r="BM19" s="51"/>
      <c r="BN19" s="51"/>
      <c r="BO19" s="41"/>
      <c r="BP19" s="41"/>
      <c r="BQ19" s="41"/>
      <c r="BR19" s="41"/>
      <c r="BS19" s="41"/>
      <c r="BT19" s="41">
        <v>-5</v>
      </c>
      <c r="BU19" s="42">
        <v>1.0660789524573682</v>
      </c>
      <c r="BV19" s="42">
        <v>1.4249434599431601</v>
      </c>
      <c r="BW19" s="42">
        <v>2.085551275122234</v>
      </c>
      <c r="BX19" s="61">
        <v>3.5104947350653939</v>
      </c>
      <c r="BY19" s="62">
        <v>0.40590958468325861</v>
      </c>
      <c r="BZ19" s="52"/>
    </row>
    <row r="20" spans="2:78" ht="15.75" thickBot="1" x14ac:dyDescent="0.3">
      <c r="B20" s="16">
        <v>80</v>
      </c>
      <c r="C20" s="17">
        <v>0.61395153873656616</v>
      </c>
      <c r="D20" s="17">
        <v>0.65871567774786666</v>
      </c>
      <c r="E20" s="17">
        <v>0.7456526106044612</v>
      </c>
      <c r="F20" s="17">
        <v>0.85818825430721057</v>
      </c>
      <c r="G20" s="17">
        <v>0.98195113225817687</v>
      </c>
      <c r="H20" s="17">
        <v>1.1059229447662657</v>
      </c>
      <c r="I20" s="17">
        <v>1.2202830695887987</v>
      </c>
      <c r="J20" s="18">
        <v>1.3150460653106293</v>
      </c>
      <c r="L20" s="16">
        <v>80</v>
      </c>
      <c r="M20" s="17">
        <v>0.60667303777060044</v>
      </c>
      <c r="N20" s="17">
        <v>0.64398918147300632</v>
      </c>
      <c r="O20" s="17">
        <v>0.72648133236715373</v>
      </c>
      <c r="P20" s="17">
        <v>0.83766522317042269</v>
      </c>
      <c r="Q20" s="17">
        <v>0.96232704270127312</v>
      </c>
      <c r="R20" s="17">
        <v>1.0883394129145629</v>
      </c>
      <c r="S20" s="17">
        <v>1.2050355491608937</v>
      </c>
      <c r="T20" s="18">
        <v>1.3019936572750732</v>
      </c>
      <c r="V20" s="16">
        <v>80</v>
      </c>
      <c r="W20" s="17">
        <v>0.60861384614091141</v>
      </c>
      <c r="X20" s="17">
        <v>0.63360736674165996</v>
      </c>
      <c r="Y20" s="17">
        <v>0.70981140851134805</v>
      </c>
      <c r="Z20" s="17">
        <v>0.81964161098985455</v>
      </c>
      <c r="AA20" s="17">
        <v>0.94491199769928191</v>
      </c>
      <c r="AB20" s="17">
        <v>1.0716007396557719</v>
      </c>
      <c r="AC20" s="17">
        <v>1.1899190011500118</v>
      </c>
      <c r="AD20" s="18">
        <v>1.2920555546233639</v>
      </c>
      <c r="AF20" s="16">
        <v>80</v>
      </c>
      <c r="AG20" s="17">
        <v>0.73045984745865011</v>
      </c>
      <c r="AH20" s="17">
        <v>0.73321489350845792</v>
      </c>
      <c r="AI20" s="17">
        <v>0.78653595207937421</v>
      </c>
      <c r="AJ20" s="17">
        <v>0.87744571397159099</v>
      </c>
      <c r="AK20" s="17">
        <v>0.98945272371842519</v>
      </c>
      <c r="AL20" s="17">
        <v>1.1082392609219156</v>
      </c>
      <c r="AM20" s="17">
        <v>1.2234171808481635</v>
      </c>
      <c r="AN20" s="18">
        <v>1.3269724437335084</v>
      </c>
      <c r="AP20" s="16">
        <v>80</v>
      </c>
      <c r="AQ20" s="17">
        <v>0.7536854991287818</v>
      </c>
      <c r="AR20" s="17">
        <v>0.75033382509975932</v>
      </c>
      <c r="AS20" s="17">
        <v>0.79308277316162501</v>
      </c>
      <c r="AT20" s="17">
        <v>0.8701790611114153</v>
      </c>
      <c r="AU20" s="17">
        <v>0.96801680791810685</v>
      </c>
      <c r="AV20" s="17">
        <v>1.0760365317549294</v>
      </c>
      <c r="AW20" s="17">
        <v>1.1869562133688702</v>
      </c>
      <c r="AX20" s="18">
        <v>1.2937714015757429</v>
      </c>
      <c r="AZ20" s="16">
        <v>80</v>
      </c>
      <c r="BA20" s="17">
        <v>0.74466005602192609</v>
      </c>
      <c r="BB20" s="17">
        <v>0.7631709942477487</v>
      </c>
      <c r="BC20" s="17">
        <v>0.81156046173509999</v>
      </c>
      <c r="BD20" s="17">
        <v>0.87599147608437278</v>
      </c>
      <c r="BE20" s="17">
        <v>0.94622348567573389</v>
      </c>
      <c r="BF20" s="17">
        <v>1.0180886371728595</v>
      </c>
      <c r="BG20" s="17">
        <v>1.0913701147762471</v>
      </c>
      <c r="BH20" s="18">
        <v>1.1657119684474184</v>
      </c>
      <c r="BI20" s="31"/>
      <c r="BJ20" s="31"/>
      <c r="BL20" s="50"/>
      <c r="BM20" s="51"/>
      <c r="BN20" s="51"/>
      <c r="BO20" s="41"/>
      <c r="BP20" s="41"/>
      <c r="BQ20" s="41"/>
      <c r="BR20" s="41"/>
      <c r="BS20" s="41"/>
      <c r="BT20" s="41">
        <v>-6</v>
      </c>
      <c r="BU20" s="42">
        <v>1.0640024652197275</v>
      </c>
      <c r="BV20" s="42">
        <v>1.3795950589703116</v>
      </c>
      <c r="BW20" s="42">
        <v>2.0739620907280623</v>
      </c>
      <c r="BX20" s="61">
        <v>3.4535571496983737</v>
      </c>
      <c r="BY20" s="62">
        <v>0.39947074832417429</v>
      </c>
      <c r="BZ20" s="52"/>
    </row>
    <row r="21" spans="2:78" ht="15.75" thickBot="1" x14ac:dyDescent="0.3">
      <c r="BL21" s="50"/>
      <c r="BM21" s="51"/>
      <c r="BN21" s="51"/>
      <c r="BO21" s="41"/>
      <c r="BP21" s="41"/>
      <c r="BQ21" s="41"/>
      <c r="BR21" s="41"/>
      <c r="BS21" s="41"/>
      <c r="BT21" s="41">
        <v>-7</v>
      </c>
      <c r="BU21" s="42">
        <v>1.0617405102405777</v>
      </c>
      <c r="BV21" s="42">
        <v>1.3295456732517679</v>
      </c>
      <c r="BW21" s="42">
        <v>2.0600062334700251</v>
      </c>
      <c r="BX21" s="61">
        <v>3.3895519067217927</v>
      </c>
      <c r="BY21" s="62">
        <v>0.3922482115158516</v>
      </c>
      <c r="BZ21" s="52"/>
    </row>
    <row r="22" spans="2:78" x14ac:dyDescent="0.25">
      <c r="B22" s="5" t="s">
        <v>13</v>
      </c>
      <c r="C22" s="6" t="s">
        <v>10</v>
      </c>
      <c r="D22" s="7"/>
      <c r="E22" s="8"/>
      <c r="F22" s="8"/>
      <c r="G22" s="8"/>
      <c r="H22" s="8"/>
      <c r="I22" s="8"/>
      <c r="J22" s="9"/>
      <c r="L22" s="5" t="s">
        <v>13</v>
      </c>
      <c r="M22" s="6" t="s">
        <v>10</v>
      </c>
      <c r="N22" s="7"/>
      <c r="O22" s="8"/>
      <c r="P22" s="8"/>
      <c r="Q22" s="8"/>
      <c r="R22" s="8"/>
      <c r="S22" s="8"/>
      <c r="T22" s="9"/>
      <c r="V22" s="5" t="s">
        <v>13</v>
      </c>
      <c r="W22" s="6" t="s">
        <v>10</v>
      </c>
      <c r="X22" s="7"/>
      <c r="Y22" s="8"/>
      <c r="Z22" s="8"/>
      <c r="AA22" s="8"/>
      <c r="AB22" s="8"/>
      <c r="AC22" s="8"/>
      <c r="AD22" s="9"/>
      <c r="AF22" s="5" t="s">
        <v>13</v>
      </c>
      <c r="AG22" s="6" t="s">
        <v>10</v>
      </c>
      <c r="AH22" s="7"/>
      <c r="AI22" s="8"/>
      <c r="AJ22" s="8"/>
      <c r="AK22" s="8"/>
      <c r="AL22" s="8"/>
      <c r="AM22" s="8"/>
      <c r="AN22" s="9"/>
      <c r="AP22" s="5" t="s">
        <v>13</v>
      </c>
      <c r="AQ22" s="6" t="s">
        <v>10</v>
      </c>
      <c r="AR22" s="7"/>
      <c r="AS22" s="8"/>
      <c r="AT22" s="8"/>
      <c r="AU22" s="8"/>
      <c r="AV22" s="8"/>
      <c r="AW22" s="8"/>
      <c r="AX22" s="9"/>
      <c r="AZ22" s="5" t="s">
        <v>13</v>
      </c>
      <c r="BA22" s="6" t="s">
        <v>10</v>
      </c>
      <c r="BB22" s="7"/>
      <c r="BC22" s="8"/>
      <c r="BD22" s="8"/>
      <c r="BE22" s="8"/>
      <c r="BF22" s="8"/>
      <c r="BG22" s="8"/>
      <c r="BH22" s="9"/>
      <c r="BI22" s="65"/>
      <c r="BJ22" s="65"/>
      <c r="BL22" s="50"/>
      <c r="BM22" s="51"/>
      <c r="BN22" s="51"/>
      <c r="BO22" s="41"/>
      <c r="BP22" s="41"/>
      <c r="BQ22" s="41"/>
      <c r="BR22" s="41"/>
      <c r="BS22" s="41"/>
      <c r="BT22" s="41">
        <v>-8</v>
      </c>
      <c r="BU22" s="42">
        <v>1.0592853344892439</v>
      </c>
      <c r="BV22" s="42">
        <v>1.2766168905676292</v>
      </c>
      <c r="BW22" s="42">
        <v>2.0432395160264298</v>
      </c>
      <c r="BX22" s="61">
        <v>3.319856406594059</v>
      </c>
      <c r="BY22" s="62">
        <v>0.38453979155000534</v>
      </c>
      <c r="BZ22" s="52"/>
    </row>
    <row r="23" spans="2:78" x14ac:dyDescent="0.25">
      <c r="B23" s="10" t="s">
        <v>11</v>
      </c>
      <c r="C23" s="11">
        <v>30</v>
      </c>
      <c r="D23" s="11">
        <v>40</v>
      </c>
      <c r="E23" s="11">
        <v>50</v>
      </c>
      <c r="F23" s="11">
        <v>60</v>
      </c>
      <c r="G23" s="11">
        <v>70</v>
      </c>
      <c r="H23" s="11">
        <v>80</v>
      </c>
      <c r="I23" s="11">
        <v>90</v>
      </c>
      <c r="J23" s="12">
        <v>100</v>
      </c>
      <c r="L23" s="10" t="s">
        <v>11</v>
      </c>
      <c r="M23" s="11">
        <v>30</v>
      </c>
      <c r="N23" s="11">
        <v>40</v>
      </c>
      <c r="O23" s="11">
        <v>50</v>
      </c>
      <c r="P23" s="11">
        <v>60</v>
      </c>
      <c r="Q23" s="11">
        <v>70</v>
      </c>
      <c r="R23" s="11">
        <v>80</v>
      </c>
      <c r="S23" s="11">
        <v>90</v>
      </c>
      <c r="T23" s="12">
        <v>100</v>
      </c>
      <c r="V23" s="10" t="s">
        <v>11</v>
      </c>
      <c r="W23" s="11">
        <v>30</v>
      </c>
      <c r="X23" s="11">
        <v>40</v>
      </c>
      <c r="Y23" s="11">
        <v>50</v>
      </c>
      <c r="Z23" s="11">
        <v>60</v>
      </c>
      <c r="AA23" s="11">
        <v>70</v>
      </c>
      <c r="AB23" s="11">
        <v>80</v>
      </c>
      <c r="AC23" s="11">
        <v>90</v>
      </c>
      <c r="AD23" s="12">
        <v>100</v>
      </c>
      <c r="AF23" s="10" t="s">
        <v>11</v>
      </c>
      <c r="AG23" s="11">
        <v>30</v>
      </c>
      <c r="AH23" s="11">
        <v>40</v>
      </c>
      <c r="AI23" s="11">
        <v>50</v>
      </c>
      <c r="AJ23" s="11">
        <v>60</v>
      </c>
      <c r="AK23" s="11">
        <v>70</v>
      </c>
      <c r="AL23" s="11">
        <v>80</v>
      </c>
      <c r="AM23" s="11">
        <v>90</v>
      </c>
      <c r="AN23" s="12">
        <v>100</v>
      </c>
      <c r="AP23" s="10" t="s">
        <v>11</v>
      </c>
      <c r="AQ23" s="11">
        <v>30</v>
      </c>
      <c r="AR23" s="11">
        <v>40</v>
      </c>
      <c r="AS23" s="11">
        <v>50</v>
      </c>
      <c r="AT23" s="11">
        <v>60</v>
      </c>
      <c r="AU23" s="11">
        <v>70</v>
      </c>
      <c r="AV23" s="11">
        <v>80</v>
      </c>
      <c r="AW23" s="11">
        <v>90</v>
      </c>
      <c r="AX23" s="12">
        <v>100</v>
      </c>
      <c r="AZ23" s="10" t="s">
        <v>11</v>
      </c>
      <c r="BA23" s="11">
        <v>30</v>
      </c>
      <c r="BB23" s="11">
        <v>40</v>
      </c>
      <c r="BC23" s="11">
        <v>50</v>
      </c>
      <c r="BD23" s="11">
        <v>60</v>
      </c>
      <c r="BE23" s="11">
        <v>70</v>
      </c>
      <c r="BF23" s="11">
        <v>80</v>
      </c>
      <c r="BG23" s="11">
        <v>90</v>
      </c>
      <c r="BH23" s="12">
        <v>100</v>
      </c>
      <c r="BI23" s="65"/>
      <c r="BJ23" s="65"/>
      <c r="BL23" s="50"/>
      <c r="BM23" s="51"/>
      <c r="BN23" s="51"/>
      <c r="BO23" s="41"/>
      <c r="BP23" s="41"/>
      <c r="BQ23" s="41"/>
      <c r="BR23" s="41"/>
      <c r="BS23" s="41"/>
      <c r="BT23" s="45">
        <v>-9</v>
      </c>
      <c r="BU23" s="46">
        <v>1.0566369450223678</v>
      </c>
      <c r="BV23" s="46">
        <v>1.2229179610165679</v>
      </c>
      <c r="BW23" s="46">
        <v>2.0234072836616583</v>
      </c>
      <c r="BX23" s="63">
        <v>3.2463252446782263</v>
      </c>
      <c r="BY23" s="64">
        <v>0.37670839144085294</v>
      </c>
      <c r="BZ23" s="52"/>
    </row>
    <row r="24" spans="2:78" x14ac:dyDescent="0.25">
      <c r="B24" s="13">
        <v>30</v>
      </c>
      <c r="C24" s="14">
        <v>2.0417592779785094</v>
      </c>
      <c r="D24" s="14">
        <v>2.0857549724793012</v>
      </c>
      <c r="E24" s="14">
        <v>2.1379307136910395</v>
      </c>
      <c r="F24" s="14">
        <v>2.190573189620137</v>
      </c>
      <c r="G24" s="14">
        <v>2.2284247975217468</v>
      </c>
      <c r="H24" s="14">
        <v>2.2343438769564483</v>
      </c>
      <c r="I24" s="14">
        <v>2.1979288836943125</v>
      </c>
      <c r="J24" s="15">
        <v>2.1219550388390358</v>
      </c>
      <c r="L24" s="13">
        <v>30</v>
      </c>
      <c r="M24" s="14">
        <v>2.0542248987643328</v>
      </c>
      <c r="N24" s="14">
        <v>2.0949622533948156</v>
      </c>
      <c r="O24" s="14">
        <v>2.1448336982612632</v>
      </c>
      <c r="P24" s="14">
        <v>2.1955139734674178</v>
      </c>
      <c r="Q24" s="14">
        <v>2.2301385342223394</v>
      </c>
      <c r="R24" s="14">
        <v>2.2301875904342463</v>
      </c>
      <c r="S24" s="14">
        <v>2.1853440090348135</v>
      </c>
      <c r="T24" s="15">
        <v>2.100214421747467</v>
      </c>
      <c r="V24" s="13">
        <v>30</v>
      </c>
      <c r="W24" s="14">
        <v>2.0733160822147521</v>
      </c>
      <c r="X24" s="14">
        <v>2.1019600858538396</v>
      </c>
      <c r="Y24" s="14">
        <v>2.135133122930156</v>
      </c>
      <c r="Z24" s="14">
        <v>2.1657643863494558</v>
      </c>
      <c r="AA24" s="14">
        <v>2.1798048217813353</v>
      </c>
      <c r="AB24" s="14">
        <v>2.1632552037337582</v>
      </c>
      <c r="AC24" s="14">
        <v>2.1108895931942993</v>
      </c>
      <c r="AD24" s="15">
        <v>2.030702592047136</v>
      </c>
      <c r="AF24" s="13">
        <v>30</v>
      </c>
      <c r="AG24" s="14">
        <v>2.079516329276478</v>
      </c>
      <c r="AH24" s="14">
        <v>2.1023728129214212</v>
      </c>
      <c r="AI24" s="14">
        <v>2.1157634545112645</v>
      </c>
      <c r="AJ24" s="14">
        <v>2.1131415565242735</v>
      </c>
      <c r="AK24" s="14">
        <v>2.0871909909391921</v>
      </c>
      <c r="AL24" s="14">
        <v>2.0350818876245578</v>
      </c>
      <c r="AM24" s="14">
        <v>1.9626989394856948</v>
      </c>
      <c r="AN24" s="15">
        <v>1.8841726382298709</v>
      </c>
      <c r="AP24" s="13">
        <v>30</v>
      </c>
      <c r="AQ24" s="14">
        <v>2.1719784291561117</v>
      </c>
      <c r="AR24" s="14">
        <v>2.1979743736360389</v>
      </c>
      <c r="AS24" s="14">
        <v>2.1974586240942697</v>
      </c>
      <c r="AT24" s="14">
        <v>2.1653575921906558</v>
      </c>
      <c r="AU24" s="14">
        <v>2.102011159222088</v>
      </c>
      <c r="AV24" s="14">
        <v>2.0157168064039994</v>
      </c>
      <c r="AW24" s="14">
        <v>1.9221909875169874</v>
      </c>
      <c r="AX24" s="15">
        <v>1.8398892809377947</v>
      </c>
      <c r="AZ24" s="13">
        <v>30</v>
      </c>
      <c r="BA24" s="14">
        <v>2.1753036432530761</v>
      </c>
      <c r="BB24" s="14">
        <v>2.2369234168584495</v>
      </c>
      <c r="BC24" s="14">
        <v>2.2457734417425517</v>
      </c>
      <c r="BD24" s="14">
        <v>2.1948764919580426</v>
      </c>
      <c r="BE24" s="14">
        <v>2.0963025845387602</v>
      </c>
      <c r="BF24" s="14">
        <v>1.976628717121516</v>
      </c>
      <c r="BG24" s="14">
        <v>1.8657490903833449</v>
      </c>
      <c r="BH24" s="15">
        <v>1.7852951196556486</v>
      </c>
      <c r="BI24" s="31"/>
      <c r="BJ24" s="31"/>
      <c r="BL24" s="50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2"/>
    </row>
    <row r="25" spans="2:78" x14ac:dyDescent="0.25">
      <c r="B25" s="13">
        <v>40</v>
      </c>
      <c r="C25" s="14">
        <v>2.0672036465150865</v>
      </c>
      <c r="D25" s="14">
        <v>2.1118840219713841</v>
      </c>
      <c r="E25" s="14">
        <v>2.1651594134251058</v>
      </c>
      <c r="F25" s="14">
        <v>2.2198932884917708</v>
      </c>
      <c r="G25" s="14">
        <v>2.2589520334864717</v>
      </c>
      <c r="H25" s="14">
        <v>2.2613359373931745</v>
      </c>
      <c r="I25" s="14">
        <v>2.2132846485488145</v>
      </c>
      <c r="J25" s="15">
        <v>2.1175382039980066</v>
      </c>
      <c r="L25" s="13">
        <v>40</v>
      </c>
      <c r="M25" s="14">
        <v>2.0453316093111118</v>
      </c>
      <c r="N25" s="14">
        <v>2.0860655984959369</v>
      </c>
      <c r="O25" s="14">
        <v>2.1395045092084204</v>
      </c>
      <c r="P25" s="14">
        <v>2.1972457836921944</v>
      </c>
      <c r="Q25" s="14">
        <v>2.2392806637492035</v>
      </c>
      <c r="R25" s="14">
        <v>2.2418540866029031</v>
      </c>
      <c r="S25" s="14">
        <v>2.1902918183608415</v>
      </c>
      <c r="T25" s="15">
        <v>2.0887833603125512</v>
      </c>
      <c r="V25" s="13">
        <v>40</v>
      </c>
      <c r="W25" s="14">
        <v>2.082374525666836</v>
      </c>
      <c r="X25" s="14">
        <v>2.1073368349121275</v>
      </c>
      <c r="Y25" s="14">
        <v>2.1416161451537752</v>
      </c>
      <c r="Z25" s="14">
        <v>2.1781689629661876</v>
      </c>
      <c r="AA25" s="14">
        <v>2.1991322343483204</v>
      </c>
      <c r="AB25" s="14">
        <v>2.184568898069899</v>
      </c>
      <c r="AC25" s="14">
        <v>2.1247985352254646</v>
      </c>
      <c r="AD25" s="15">
        <v>2.0279053485986402</v>
      </c>
      <c r="AF25" s="13">
        <v>40</v>
      </c>
      <c r="AG25" s="14">
        <v>2.1060322607504003</v>
      </c>
      <c r="AH25" s="14">
        <v>2.1266784379633457</v>
      </c>
      <c r="AI25" s="14">
        <v>2.1410312224392056</v>
      </c>
      <c r="AJ25" s="14">
        <v>2.1419917702692897</v>
      </c>
      <c r="AK25" s="14">
        <v>2.1188963106658871</v>
      </c>
      <c r="AL25" s="14">
        <v>2.0646139712606151</v>
      </c>
      <c r="AM25" s="14">
        <v>1.9826424823845779</v>
      </c>
      <c r="AN25" s="15">
        <v>1.8884879802170582</v>
      </c>
      <c r="AP25" s="13">
        <v>40</v>
      </c>
      <c r="AQ25" s="14">
        <v>2.1763211751033418</v>
      </c>
      <c r="AR25" s="14">
        <v>2.198884665258078</v>
      </c>
      <c r="AS25" s="14">
        <v>2.1989765514153463</v>
      </c>
      <c r="AT25" s="14">
        <v>2.171827783931767</v>
      </c>
      <c r="AU25" s="14">
        <v>2.1156477997979395</v>
      </c>
      <c r="AV25" s="14">
        <v>2.0352739072729333</v>
      </c>
      <c r="AW25" s="14">
        <v>1.943657803201388</v>
      </c>
      <c r="AX25" s="15">
        <v>1.8587208703048379</v>
      </c>
      <c r="AZ25" s="13">
        <v>40</v>
      </c>
      <c r="BA25" s="14">
        <v>2.1181680234196092</v>
      </c>
      <c r="BB25" s="14">
        <v>2.1934966568207601</v>
      </c>
      <c r="BC25" s="14">
        <v>2.2192774906312538</v>
      </c>
      <c r="BD25" s="14">
        <v>2.1864474305211101</v>
      </c>
      <c r="BE25" s="14">
        <v>2.1055177490172401</v>
      </c>
      <c r="BF25" s="14">
        <v>2.0018453606381774</v>
      </c>
      <c r="BG25" s="14">
        <v>1.9040711931877672</v>
      </c>
      <c r="BH25" s="15">
        <v>1.8325041756680869</v>
      </c>
      <c r="BI25" s="31"/>
      <c r="BJ25" s="31"/>
      <c r="BL25" s="50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</row>
    <row r="26" spans="2:78" x14ac:dyDescent="0.25">
      <c r="B26" s="13">
        <v>50</v>
      </c>
      <c r="C26" s="14">
        <v>2.1280185021088189</v>
      </c>
      <c r="D26" s="14">
        <v>2.1723567949358089</v>
      </c>
      <c r="E26" s="14">
        <v>2.2239376645572526</v>
      </c>
      <c r="F26" s="14">
        <v>2.2770241054216855</v>
      </c>
      <c r="G26" s="14">
        <v>2.3129535360120288</v>
      </c>
      <c r="H26" s="14">
        <v>2.3066501901409371</v>
      </c>
      <c r="I26" s="14">
        <v>2.2406650732461313</v>
      </c>
      <c r="J26" s="15">
        <v>2.1178714693982963</v>
      </c>
      <c r="L26" s="13">
        <v>50</v>
      </c>
      <c r="M26" s="14">
        <v>2.0811022039196709</v>
      </c>
      <c r="N26" s="14">
        <v>2.1200628257918144</v>
      </c>
      <c r="O26" s="14">
        <v>2.1723410743858294</v>
      </c>
      <c r="P26" s="14">
        <v>2.2310645661671691</v>
      </c>
      <c r="Q26" s="14">
        <v>2.274471829160865</v>
      </c>
      <c r="R26" s="14">
        <v>2.2741127419209852</v>
      </c>
      <c r="S26" s="14">
        <v>2.2106821897758246</v>
      </c>
      <c r="T26" s="15">
        <v>2.0874648056158307</v>
      </c>
      <c r="V26" s="13">
        <v>50</v>
      </c>
      <c r="W26" s="14">
        <v>2.1087322481895709</v>
      </c>
      <c r="X26" s="14">
        <v>2.1296570823396967</v>
      </c>
      <c r="Y26" s="14">
        <v>2.1644498750911176</v>
      </c>
      <c r="Z26" s="14">
        <v>2.206954402144925</v>
      </c>
      <c r="AA26" s="14">
        <v>2.2356292835850633</v>
      </c>
      <c r="AB26" s="14">
        <v>2.223734528207665</v>
      </c>
      <c r="AC26" s="14">
        <v>2.1557234217396091</v>
      </c>
      <c r="AD26" s="15">
        <v>2.0387431253262949</v>
      </c>
      <c r="AF26" s="13">
        <v>50</v>
      </c>
      <c r="AG26" s="14">
        <v>2.1138987196149603</v>
      </c>
      <c r="AH26" s="14">
        <v>2.1320078727046563</v>
      </c>
      <c r="AI26" s="14">
        <v>2.1504171126188831</v>
      </c>
      <c r="AJ26" s="14">
        <v>2.1617670972889309</v>
      </c>
      <c r="AK26" s="14">
        <v>2.1509347536442043</v>
      </c>
      <c r="AL26" s="14">
        <v>2.1040866646912182</v>
      </c>
      <c r="AM26" s="14">
        <v>2.0195178815121433</v>
      </c>
      <c r="AN26" s="15">
        <v>1.912120892029977</v>
      </c>
      <c r="AP26" s="13">
        <v>50</v>
      </c>
      <c r="AQ26" s="14">
        <v>2.1421018691971252</v>
      </c>
      <c r="AR26" s="14">
        <v>2.1581450550109138</v>
      </c>
      <c r="AS26" s="14">
        <v>2.1618291809204915</v>
      </c>
      <c r="AT26" s="14">
        <v>2.1493776292495794</v>
      </c>
      <c r="AU26" s="14">
        <v>2.1151974106407554</v>
      </c>
      <c r="AV26" s="14">
        <v>2.0568753763176639</v>
      </c>
      <c r="AW26" s="14">
        <v>1.9800995760739357</v>
      </c>
      <c r="AX26" s="15">
        <v>1.8989637143020961</v>
      </c>
      <c r="AZ26" s="13">
        <v>50</v>
      </c>
      <c r="BA26" s="14">
        <v>1.9998541946677784</v>
      </c>
      <c r="BB26" s="14">
        <v>2.0855879140474807</v>
      </c>
      <c r="BC26" s="14">
        <v>2.1360666093532856</v>
      </c>
      <c r="BD26" s="14">
        <v>2.1395054428335478</v>
      </c>
      <c r="BE26" s="14">
        <v>2.1002732346113273</v>
      </c>
      <c r="BF26" s="14">
        <v>2.0356953424375188</v>
      </c>
      <c r="BG26" s="14">
        <v>1.9670486415656505</v>
      </c>
      <c r="BH26" s="15">
        <v>1.9103979957714234</v>
      </c>
      <c r="BI26" s="31"/>
      <c r="BJ26" s="31"/>
      <c r="BL26" s="50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2"/>
    </row>
    <row r="27" spans="2:78" x14ac:dyDescent="0.25">
      <c r="B27" s="13">
        <v>60</v>
      </c>
      <c r="C27" s="14">
        <v>2.1885816155920237</v>
      </c>
      <c r="D27" s="14">
        <v>2.226642500968099</v>
      </c>
      <c r="E27" s="14">
        <v>2.2704856641180302</v>
      </c>
      <c r="F27" s="14">
        <v>2.3167534136612908</v>
      </c>
      <c r="G27" s="14">
        <v>2.3462404956133618</v>
      </c>
      <c r="H27" s="14">
        <v>2.3306131643215564</v>
      </c>
      <c r="I27" s="14">
        <v>2.2490735928919778</v>
      </c>
      <c r="J27" s="15">
        <v>2.1041970251170681</v>
      </c>
      <c r="L27" s="13">
        <v>60</v>
      </c>
      <c r="M27" s="14">
        <v>2.1342848387219862</v>
      </c>
      <c r="N27" s="14">
        <v>2.1642855385678312</v>
      </c>
      <c r="O27" s="14">
        <v>2.20613644371356</v>
      </c>
      <c r="P27" s="14">
        <v>2.2564631624068379</v>
      </c>
      <c r="Q27" s="14">
        <v>2.2940874054061124</v>
      </c>
      <c r="R27" s="14">
        <v>2.2877734015690545</v>
      </c>
      <c r="S27" s="14">
        <v>2.2142765840690664</v>
      </c>
      <c r="T27" s="15">
        <v>2.075094827826768</v>
      </c>
      <c r="V27" s="13">
        <v>60</v>
      </c>
      <c r="W27" s="14">
        <v>2.1239299140277157</v>
      </c>
      <c r="X27" s="14">
        <v>2.1372244560778548</v>
      </c>
      <c r="Y27" s="14">
        <v>2.1685519581956911</v>
      </c>
      <c r="Z27" s="14">
        <v>2.2137204605934993</v>
      </c>
      <c r="AA27" s="14">
        <v>2.2489398753290004</v>
      </c>
      <c r="AB27" s="14">
        <v>2.2417311157599302</v>
      </c>
      <c r="AC27" s="14">
        <v>2.1706604023161682</v>
      </c>
      <c r="AD27" s="15">
        <v>2.0406448109284212</v>
      </c>
      <c r="AF27" s="13">
        <v>60</v>
      </c>
      <c r="AG27" s="14">
        <v>2.0859022862715046</v>
      </c>
      <c r="AH27" s="14">
        <v>2.0998054146758252</v>
      </c>
      <c r="AI27" s="14">
        <v>2.12274078116958</v>
      </c>
      <c r="AJ27" s="14">
        <v>2.1475597086988252</v>
      </c>
      <c r="AK27" s="14">
        <v>2.1549346245836545</v>
      </c>
      <c r="AL27" s="14">
        <v>2.1239186823895215</v>
      </c>
      <c r="AM27" s="14">
        <v>2.0462715111164513</v>
      </c>
      <c r="AN27" s="15">
        <v>1.9343039954740908</v>
      </c>
      <c r="AP27" s="13">
        <v>60</v>
      </c>
      <c r="AQ27" s="14">
        <v>2.0672711135473119</v>
      </c>
      <c r="AR27" s="14">
        <v>2.0731568704401351</v>
      </c>
      <c r="AS27" s="14">
        <v>2.0801138212958072</v>
      </c>
      <c r="AT27" s="14">
        <v>2.0858848513325681</v>
      </c>
      <c r="AU27" s="14">
        <v>2.0806793977203206</v>
      </c>
      <c r="AV27" s="14">
        <v>2.0533738811598705</v>
      </c>
      <c r="AW27" s="14">
        <v>2.000220126973173</v>
      </c>
      <c r="AX27" s="15">
        <v>1.9294095746260864</v>
      </c>
      <c r="AZ27" s="13">
        <v>60</v>
      </c>
      <c r="BA27" s="14">
        <v>1.8729735552305165</v>
      </c>
      <c r="BB27" s="14">
        <v>1.9606823735131127</v>
      </c>
      <c r="BC27" s="14">
        <v>2.0319207256003446</v>
      </c>
      <c r="BD27" s="14">
        <v>2.0726210624829555</v>
      </c>
      <c r="BE27" s="14">
        <v>2.0789994182153984</v>
      </c>
      <c r="BF27" s="14">
        <v>2.0570666580936354</v>
      </c>
      <c r="BG27" s="14">
        <v>2.018109347267258</v>
      </c>
      <c r="BH27" s="15">
        <v>1.9733955663817713</v>
      </c>
      <c r="BI27" s="31"/>
      <c r="BJ27" s="31"/>
      <c r="BL27" s="50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</row>
    <row r="28" spans="2:78" x14ac:dyDescent="0.25">
      <c r="B28" s="13">
        <v>70</v>
      </c>
      <c r="C28" s="14">
        <v>2.2090093913710649</v>
      </c>
      <c r="D28" s="14">
        <v>2.237689457761423</v>
      </c>
      <c r="E28" s="14">
        <v>2.272316129004107</v>
      </c>
      <c r="F28" s="14">
        <v>2.3117664655364769</v>
      </c>
      <c r="G28" s="14">
        <v>2.3372180023685512</v>
      </c>
      <c r="H28" s="14">
        <v>2.3188600837799744</v>
      </c>
      <c r="I28" s="14">
        <v>2.2338448397713941</v>
      </c>
      <c r="J28" s="15">
        <v>2.0837448740719129</v>
      </c>
      <c r="L28" s="13">
        <v>70</v>
      </c>
      <c r="M28" s="14">
        <v>2.1603368823510687</v>
      </c>
      <c r="N28" s="14">
        <v>2.1774885136940401</v>
      </c>
      <c r="O28" s="14">
        <v>2.2052257162060331</v>
      </c>
      <c r="P28" s="14">
        <v>2.2440502031835483</v>
      </c>
      <c r="Q28" s="14">
        <v>2.2750730539776889</v>
      </c>
      <c r="R28" s="14">
        <v>2.2667856402217277</v>
      </c>
      <c r="S28" s="14">
        <v>2.1937218757386368</v>
      </c>
      <c r="T28" s="15">
        <v>2.0549025116078656</v>
      </c>
      <c r="V28" s="13">
        <v>70</v>
      </c>
      <c r="W28" s="14">
        <v>2.1046399055801341</v>
      </c>
      <c r="X28" s="14">
        <v>2.110431074948294</v>
      </c>
      <c r="Y28" s="14">
        <v>2.137791665615858</v>
      </c>
      <c r="Z28" s="14">
        <v>2.1845025064168193</v>
      </c>
      <c r="AA28" s="14">
        <v>2.2264117888149397</v>
      </c>
      <c r="AB28" s="14">
        <v>2.2281593180012291</v>
      </c>
      <c r="AC28" s="14">
        <v>2.1642725193208325</v>
      </c>
      <c r="AD28" s="15">
        <v>2.0366213072160706</v>
      </c>
      <c r="AF28" s="13">
        <v>70</v>
      </c>
      <c r="AG28" s="14">
        <v>2.0265680392258254</v>
      </c>
      <c r="AH28" s="14">
        <v>2.0375062988290149</v>
      </c>
      <c r="AI28" s="14">
        <v>2.0655158828857139</v>
      </c>
      <c r="AJ28" s="14">
        <v>2.1037681864681832</v>
      </c>
      <c r="AK28" s="14">
        <v>2.1303525929826197</v>
      </c>
      <c r="AL28" s="14">
        <v>2.1193626337048808</v>
      </c>
      <c r="AM28" s="14">
        <v>2.0570907527453239</v>
      </c>
      <c r="AN28" s="15">
        <v>1.9521892315308313</v>
      </c>
      <c r="AP28" s="13">
        <v>70</v>
      </c>
      <c r="AQ28" s="14">
        <v>1.972174407333013</v>
      </c>
      <c r="AR28" s="14">
        <v>1.9691897528605697</v>
      </c>
      <c r="AS28" s="14">
        <v>1.9795204506111546</v>
      </c>
      <c r="AT28" s="14">
        <v>2.00208255725307</v>
      </c>
      <c r="AU28" s="14">
        <v>2.0238198228436071</v>
      </c>
      <c r="AV28" s="14">
        <v>2.0265752766005627</v>
      </c>
      <c r="AW28" s="14">
        <v>1.9984844859284052</v>
      </c>
      <c r="AX28" s="15">
        <v>1.941931186620161</v>
      </c>
      <c r="AZ28" s="13">
        <v>70</v>
      </c>
      <c r="BA28" s="14">
        <v>1.7913462233968354</v>
      </c>
      <c r="BB28" s="14">
        <v>1.8710769559925073</v>
      </c>
      <c r="BC28" s="14">
        <v>1.9492714712865653</v>
      </c>
      <c r="BD28" s="14">
        <v>2.0111251119907427</v>
      </c>
      <c r="BE28" s="14">
        <v>2.0463822594562107</v>
      </c>
      <c r="BF28" s="14">
        <v>2.0515127670548492</v>
      </c>
      <c r="BG28" s="14">
        <v>2.0296262342764129</v>
      </c>
      <c r="BH28" s="15">
        <v>1.9887672379285843</v>
      </c>
      <c r="BI28" s="31"/>
      <c r="BJ28" s="31"/>
      <c r="BL28" s="50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2"/>
    </row>
    <row r="29" spans="2:78" ht="15.75" thickBot="1" x14ac:dyDescent="0.3">
      <c r="B29" s="16">
        <v>80</v>
      </c>
      <c r="C29" s="17">
        <v>2.1786168084660016</v>
      </c>
      <c r="D29" s="17">
        <v>2.2029836258081246</v>
      </c>
      <c r="E29" s="17">
        <v>2.2351093567829072</v>
      </c>
      <c r="F29" s="17">
        <v>2.2744157456184242</v>
      </c>
      <c r="G29" s="17">
        <v>2.3028719706755982</v>
      </c>
      <c r="H29" s="17">
        <v>2.2914849694509476</v>
      </c>
      <c r="I29" s="17">
        <v>2.2175429472752484</v>
      </c>
      <c r="J29" s="18">
        <v>2.0813781661507118</v>
      </c>
      <c r="L29" s="16">
        <v>80</v>
      </c>
      <c r="M29" s="17">
        <v>2.1386551941806222</v>
      </c>
      <c r="N29" s="17">
        <v>2.1487150402495616</v>
      </c>
      <c r="O29" s="17">
        <v>2.1694965651302276</v>
      </c>
      <c r="P29" s="17">
        <v>2.2033945912333568</v>
      </c>
      <c r="Q29" s="17">
        <v>2.2340054390979294</v>
      </c>
      <c r="R29" s="17">
        <v>2.2318677781749612</v>
      </c>
      <c r="S29" s="17">
        <v>2.1718064020312089</v>
      </c>
      <c r="T29" s="18">
        <v>2.0506502109014475</v>
      </c>
      <c r="V29" s="16">
        <v>80</v>
      </c>
      <c r="W29" s="17">
        <v>2.0571943974324509</v>
      </c>
      <c r="X29" s="17">
        <v>2.0633038781258475</v>
      </c>
      <c r="Y29" s="17">
        <v>2.0928570623033074</v>
      </c>
      <c r="Z29" s="17">
        <v>2.1441277313374751</v>
      </c>
      <c r="AA29" s="17">
        <v>2.1940985408242044</v>
      </c>
      <c r="AB29" s="17">
        <v>2.2082188128824063</v>
      </c>
      <c r="AC29" s="17">
        <v>2.1602895313395849</v>
      </c>
      <c r="AD29" s="18">
        <v>2.0494946985480169</v>
      </c>
      <c r="AF29" s="16">
        <v>80</v>
      </c>
      <c r="AG29" s="17">
        <v>1.9629149990314692</v>
      </c>
      <c r="AH29" s="17">
        <v>1.976672971478175</v>
      </c>
      <c r="AI29" s="17">
        <v>2.0119001854122365</v>
      </c>
      <c r="AJ29" s="17">
        <v>2.0616817159622762</v>
      </c>
      <c r="AK29" s="17">
        <v>2.1038151373203409</v>
      </c>
      <c r="AL29" s="17">
        <v>2.1112484883730991</v>
      </c>
      <c r="AM29" s="17">
        <v>2.0677895098677364</v>
      </c>
      <c r="AN29" s="18">
        <v>1.9786413810721575</v>
      </c>
      <c r="AP29" s="16">
        <v>80</v>
      </c>
      <c r="AQ29" s="17">
        <v>1.8921499355565616</v>
      </c>
      <c r="AR29" s="17">
        <v>1.8882933794864876</v>
      </c>
      <c r="AS29" s="17">
        <v>1.9049108007553857</v>
      </c>
      <c r="AT29" s="17">
        <v>1.9408692977650599</v>
      </c>
      <c r="AU29" s="17">
        <v>1.9815151408217222</v>
      </c>
      <c r="AV29" s="17">
        <v>2.0054860280280495</v>
      </c>
      <c r="AW29" s="17">
        <v>1.9967295781081558</v>
      </c>
      <c r="AX29" s="18">
        <v>1.9537814551018924</v>
      </c>
      <c r="AZ29" s="16">
        <v>80</v>
      </c>
      <c r="BA29" s="17">
        <v>1.7725346228026684</v>
      </c>
      <c r="BB29" s="17">
        <v>1.8375795153059802</v>
      </c>
      <c r="BC29" s="17">
        <v>1.9079421991170014</v>
      </c>
      <c r="BD29" s="17">
        <v>1.9699657527137644</v>
      </c>
      <c r="BE29" s="17">
        <v>2.0108129737146263</v>
      </c>
      <c r="BF29" s="17">
        <v>2.0222273988731581</v>
      </c>
      <c r="BG29" s="17">
        <v>2.0032411792849123</v>
      </c>
      <c r="BH29" s="18">
        <v>1.960631099621196</v>
      </c>
      <c r="BI29" s="31"/>
      <c r="BJ29" s="31"/>
      <c r="BL29" s="50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2"/>
    </row>
    <row r="30" spans="2:78" ht="15.75" thickBot="1" x14ac:dyDescent="0.3">
      <c r="M30" s="1"/>
      <c r="N30" s="1"/>
      <c r="O30" s="1"/>
      <c r="P30" s="1"/>
      <c r="Q30" s="1"/>
      <c r="R30" s="1"/>
      <c r="S30" s="1"/>
      <c r="T30" s="1"/>
      <c r="BL30" s="50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2"/>
    </row>
    <row r="31" spans="2:78" x14ac:dyDescent="0.25">
      <c r="B31" s="5" t="s">
        <v>29</v>
      </c>
      <c r="C31" s="6" t="s">
        <v>10</v>
      </c>
      <c r="D31" s="7"/>
      <c r="E31" s="8"/>
      <c r="F31" s="8"/>
      <c r="G31" s="8"/>
      <c r="H31" s="8"/>
      <c r="I31" s="8"/>
      <c r="J31" s="9"/>
      <c r="L31" s="5" t="s">
        <v>29</v>
      </c>
      <c r="M31" s="6" t="s">
        <v>10</v>
      </c>
      <c r="N31" s="7"/>
      <c r="O31" s="8"/>
      <c r="P31" s="8"/>
      <c r="Q31" s="8"/>
      <c r="R31" s="8"/>
      <c r="S31" s="8"/>
      <c r="T31" s="9"/>
      <c r="V31" s="5" t="s">
        <v>29</v>
      </c>
      <c r="W31" s="6" t="s">
        <v>10</v>
      </c>
      <c r="X31" s="7"/>
      <c r="Y31" s="8"/>
      <c r="Z31" s="8"/>
      <c r="AA31" s="8"/>
      <c r="AB31" s="8"/>
      <c r="AC31" s="8"/>
      <c r="AD31" s="9"/>
      <c r="AF31" s="5" t="s">
        <v>29</v>
      </c>
      <c r="AG31" s="6" t="s">
        <v>10</v>
      </c>
      <c r="AH31" s="7"/>
      <c r="AI31" s="8"/>
      <c r="AJ31" s="8"/>
      <c r="AK31" s="8"/>
      <c r="AL31" s="8"/>
      <c r="AM31" s="8"/>
      <c r="AN31" s="9"/>
      <c r="AP31" s="5" t="s">
        <v>29</v>
      </c>
      <c r="AQ31" s="6" t="s">
        <v>10</v>
      </c>
      <c r="AR31" s="7"/>
      <c r="AS31" s="8"/>
      <c r="AT31" s="8"/>
      <c r="AU31" s="8"/>
      <c r="AV31" s="8"/>
      <c r="AW31" s="8"/>
      <c r="AX31" s="9"/>
      <c r="AZ31" s="5" t="s">
        <v>29</v>
      </c>
      <c r="BA31" s="6" t="s">
        <v>10</v>
      </c>
      <c r="BB31" s="7"/>
      <c r="BC31" s="8"/>
      <c r="BD31" s="8"/>
      <c r="BE31" s="8"/>
      <c r="BF31" s="8"/>
      <c r="BG31" s="8"/>
      <c r="BH31" s="9"/>
      <c r="BI31" s="65"/>
      <c r="BJ31" s="65"/>
      <c r="BL31" s="50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2"/>
    </row>
    <row r="32" spans="2:78" x14ac:dyDescent="0.25">
      <c r="B32" s="10" t="s">
        <v>11</v>
      </c>
      <c r="C32" s="11">
        <v>30</v>
      </c>
      <c r="D32" s="11">
        <v>40</v>
      </c>
      <c r="E32" s="11">
        <v>50</v>
      </c>
      <c r="F32" s="11">
        <v>60</v>
      </c>
      <c r="G32" s="11">
        <v>70</v>
      </c>
      <c r="H32" s="11">
        <v>80</v>
      </c>
      <c r="I32" s="11">
        <v>90</v>
      </c>
      <c r="J32" s="12">
        <v>100</v>
      </c>
      <c r="L32" s="10" t="s">
        <v>11</v>
      </c>
      <c r="M32" s="11">
        <v>30</v>
      </c>
      <c r="N32" s="11">
        <v>40</v>
      </c>
      <c r="O32" s="11">
        <v>50</v>
      </c>
      <c r="P32" s="11">
        <v>60</v>
      </c>
      <c r="Q32" s="11">
        <v>70</v>
      </c>
      <c r="R32" s="11">
        <v>80</v>
      </c>
      <c r="S32" s="11">
        <v>90</v>
      </c>
      <c r="T32" s="12">
        <v>100</v>
      </c>
      <c r="V32" s="10" t="s">
        <v>11</v>
      </c>
      <c r="W32" s="11">
        <v>30</v>
      </c>
      <c r="X32" s="11">
        <v>40</v>
      </c>
      <c r="Y32" s="11">
        <v>50</v>
      </c>
      <c r="Z32" s="11">
        <v>60</v>
      </c>
      <c r="AA32" s="11">
        <v>70</v>
      </c>
      <c r="AB32" s="11">
        <v>80</v>
      </c>
      <c r="AC32" s="11">
        <v>90</v>
      </c>
      <c r="AD32" s="12">
        <v>100</v>
      </c>
      <c r="AF32" s="10" t="s">
        <v>11</v>
      </c>
      <c r="AG32" s="11">
        <v>30</v>
      </c>
      <c r="AH32" s="11">
        <v>40</v>
      </c>
      <c r="AI32" s="11">
        <v>50</v>
      </c>
      <c r="AJ32" s="11">
        <v>60</v>
      </c>
      <c r="AK32" s="11">
        <v>70</v>
      </c>
      <c r="AL32" s="11">
        <v>80</v>
      </c>
      <c r="AM32" s="11">
        <v>90</v>
      </c>
      <c r="AN32" s="12">
        <v>100</v>
      </c>
      <c r="AP32" s="10" t="s">
        <v>11</v>
      </c>
      <c r="AQ32" s="11">
        <v>30</v>
      </c>
      <c r="AR32" s="11">
        <v>40</v>
      </c>
      <c r="AS32" s="11">
        <v>50</v>
      </c>
      <c r="AT32" s="11">
        <v>60</v>
      </c>
      <c r="AU32" s="11">
        <v>70</v>
      </c>
      <c r="AV32" s="11">
        <v>80</v>
      </c>
      <c r="AW32" s="11">
        <v>90</v>
      </c>
      <c r="AX32" s="12">
        <v>100</v>
      </c>
      <c r="AZ32" s="10" t="s">
        <v>11</v>
      </c>
      <c r="BA32" s="11">
        <v>30</v>
      </c>
      <c r="BB32" s="11">
        <v>40</v>
      </c>
      <c r="BC32" s="11">
        <v>50</v>
      </c>
      <c r="BD32" s="11">
        <v>60</v>
      </c>
      <c r="BE32" s="11">
        <v>70</v>
      </c>
      <c r="BF32" s="11">
        <v>80</v>
      </c>
      <c r="BG32" s="11">
        <v>90</v>
      </c>
      <c r="BH32" s="12">
        <v>100</v>
      </c>
      <c r="BI32" s="65"/>
      <c r="BJ32" s="65"/>
      <c r="BL32" s="50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2"/>
    </row>
    <row r="33" spans="2:78" x14ac:dyDescent="0.25">
      <c r="B33" s="13">
        <v>30</v>
      </c>
      <c r="C33" s="31">
        <v>3.8518783991250269</v>
      </c>
      <c r="D33" s="31">
        <v>4.0301949680707132</v>
      </c>
      <c r="E33" s="31">
        <v>4.22268656594993</v>
      </c>
      <c r="F33" s="31">
        <v>4.4125378033346951</v>
      </c>
      <c r="G33" s="31">
        <v>4.5787796816653863</v>
      </c>
      <c r="H33" s="31">
        <v>4.6999815474746827</v>
      </c>
      <c r="I33" s="31">
        <v>4.7579478563953579</v>
      </c>
      <c r="J33" s="15">
        <v>4.7409904540373775</v>
      </c>
      <c r="L33" s="13">
        <v>30</v>
      </c>
      <c r="M33" s="31">
        <v>3.8684075410255505</v>
      </c>
      <c r="N33" s="31">
        <v>4.0733160494060785</v>
      </c>
      <c r="O33" s="31">
        <v>4.2867323461338023</v>
      </c>
      <c r="P33" s="31">
        <v>4.4854274074218914</v>
      </c>
      <c r="Q33" s="31">
        <v>4.6458684597186046</v>
      </c>
      <c r="R33" s="31">
        <v>4.7490021300262288</v>
      </c>
      <c r="S33" s="31">
        <v>4.78269054962285</v>
      </c>
      <c r="T33" s="15">
        <v>4.7421830944956636</v>
      </c>
      <c r="V33" s="13">
        <v>30</v>
      </c>
      <c r="W33" s="31">
        <v>3.9595284140003382</v>
      </c>
      <c r="X33" s="31">
        <v>4.1241351020979895</v>
      </c>
      <c r="Y33" s="31">
        <v>4.2890132577031164</v>
      </c>
      <c r="Z33" s="31">
        <v>4.4372643550146122</v>
      </c>
      <c r="AA33" s="31">
        <v>4.5520393702779014</v>
      </c>
      <c r="AB33" s="31">
        <v>4.6213862320452677</v>
      </c>
      <c r="AC33" s="31">
        <v>4.6398198340392689</v>
      </c>
      <c r="AD33" s="15">
        <v>4.6063618909125648</v>
      </c>
      <c r="AF33" s="13">
        <v>30</v>
      </c>
      <c r="AG33" s="31">
        <v>4.0017225403486147</v>
      </c>
      <c r="AH33" s="31">
        <v>4.1198306090571286</v>
      </c>
      <c r="AI33" s="31">
        <v>4.2204987931621929</v>
      </c>
      <c r="AJ33" s="31">
        <v>4.2931248786578831</v>
      </c>
      <c r="AK33" s="31">
        <v>4.3304538889314887</v>
      </c>
      <c r="AL33" s="31">
        <v>4.3320280821133714</v>
      </c>
      <c r="AM33" s="31">
        <v>4.3035606265469921</v>
      </c>
      <c r="AN33" s="15">
        <v>4.2521508084164239</v>
      </c>
      <c r="AP33" s="13">
        <v>30</v>
      </c>
      <c r="AQ33" s="31">
        <v>4.0798010392323683</v>
      </c>
      <c r="AR33" s="31">
        <v>4.2322480096147252</v>
      </c>
      <c r="AS33" s="31">
        <v>4.3430227234159258</v>
      </c>
      <c r="AT33" s="31">
        <v>4.3941706794687931</v>
      </c>
      <c r="AU33" s="31">
        <v>4.3827155674589449</v>
      </c>
      <c r="AV33" s="31">
        <v>4.3229233663939537</v>
      </c>
      <c r="AW33" s="31">
        <v>4.2391615036921593</v>
      </c>
      <c r="AX33" s="15">
        <v>4.1529853220903306</v>
      </c>
      <c r="AZ33" s="13">
        <v>30</v>
      </c>
      <c r="BA33" s="31">
        <v>3.9491717703502616</v>
      </c>
      <c r="BB33" s="31">
        <v>4.1455400224148224</v>
      </c>
      <c r="BC33" s="31">
        <v>4.2990333747290403</v>
      </c>
      <c r="BD33" s="31">
        <v>4.3856988347764663</v>
      </c>
      <c r="BE33" s="31">
        <v>4.3993755633739511</v>
      </c>
      <c r="BF33" s="31">
        <v>4.3513065523331917</v>
      </c>
      <c r="BG33" s="31">
        <v>4.2620436101184733</v>
      </c>
      <c r="BH33" s="15">
        <v>4.1512052996012185</v>
      </c>
      <c r="BI33" s="31"/>
      <c r="BJ33" s="31"/>
      <c r="BL33" s="50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2"/>
    </row>
    <row r="34" spans="2:78" x14ac:dyDescent="0.25">
      <c r="B34" s="13">
        <v>40</v>
      </c>
      <c r="C34" s="31">
        <v>3.6173981303302725</v>
      </c>
      <c r="D34" s="31">
        <v>3.7906330522801097</v>
      </c>
      <c r="E34" s="31">
        <v>3.9815808371324701</v>
      </c>
      <c r="F34" s="31">
        <v>4.1722128518395438</v>
      </c>
      <c r="G34" s="31">
        <v>4.3413585190731734</v>
      </c>
      <c r="H34" s="31">
        <v>4.4675411025636782</v>
      </c>
      <c r="I34" s="31">
        <v>4.5322814323706009</v>
      </c>
      <c r="J34" s="15">
        <v>4.5239083412289327</v>
      </c>
      <c r="L34" s="13">
        <v>40</v>
      </c>
      <c r="M34" s="31">
        <v>3.5663642676842935</v>
      </c>
      <c r="N34" s="31">
        <v>3.7517878422206326</v>
      </c>
      <c r="O34" s="31">
        <v>3.9586348262933484</v>
      </c>
      <c r="P34" s="31">
        <v>4.1636988100624217</v>
      </c>
      <c r="Q34" s="31">
        <v>4.3414347187552877</v>
      </c>
      <c r="R34" s="31">
        <v>4.4688058987503236</v>
      </c>
      <c r="S34" s="31">
        <v>4.5289631411172984</v>
      </c>
      <c r="T34" s="15">
        <v>4.5137158163141251</v>
      </c>
      <c r="V34" s="13">
        <v>40</v>
      </c>
      <c r="W34" s="31">
        <v>3.6849894637931611</v>
      </c>
      <c r="X34" s="31">
        <v>3.8318391477944815</v>
      </c>
      <c r="Y34" s="31">
        <v>3.9964086039414526</v>
      </c>
      <c r="Z34" s="31">
        <v>4.1593850082941852</v>
      </c>
      <c r="AA34" s="31">
        <v>4.2976825669225063</v>
      </c>
      <c r="AB34" s="31">
        <v>4.3919448590714349</v>
      </c>
      <c r="AC34" s="31">
        <v>4.4314345717811499</v>
      </c>
      <c r="AD34" s="15">
        <v>4.4141595316777913</v>
      </c>
      <c r="AF34" s="13">
        <v>40</v>
      </c>
      <c r="AG34" s="31">
        <v>3.7959803217950441</v>
      </c>
      <c r="AH34" s="31">
        <v>3.9012009314958167</v>
      </c>
      <c r="AI34" s="31">
        <v>4.0066889547698716</v>
      </c>
      <c r="AJ34" s="31">
        <v>4.0984504002652038</v>
      </c>
      <c r="AK34" s="31">
        <v>4.1616772807130049</v>
      </c>
      <c r="AL34" s="31">
        <v>4.1879184151575419</v>
      </c>
      <c r="AM34" s="31">
        <v>4.1782094780921435</v>
      </c>
      <c r="AN34" s="15">
        <v>4.1397807987050479</v>
      </c>
      <c r="AP34" s="13">
        <v>40</v>
      </c>
      <c r="AQ34" s="31">
        <v>3.8298370579943506</v>
      </c>
      <c r="AR34" s="31">
        <v>3.9604680471687743</v>
      </c>
      <c r="AS34" s="31">
        <v>4.0706298195841244</v>
      </c>
      <c r="AT34" s="31">
        <v>4.1408525135478964</v>
      </c>
      <c r="AU34" s="31">
        <v>4.1620089735596455</v>
      </c>
      <c r="AV34" s="31">
        <v>4.1406383462184806</v>
      </c>
      <c r="AW34" s="31">
        <v>4.0949602737595612</v>
      </c>
      <c r="AX34" s="15">
        <v>4.0434057094808562</v>
      </c>
      <c r="AZ34" s="13">
        <v>40</v>
      </c>
      <c r="BA34" s="31">
        <v>3.6610084562593581</v>
      </c>
      <c r="BB34" s="31">
        <v>3.8607515593092092</v>
      </c>
      <c r="BC34" s="31">
        <v>4.0252761856491377</v>
      </c>
      <c r="BD34" s="31">
        <v>4.1277072062875746</v>
      </c>
      <c r="BE34" s="31">
        <v>4.1619452865138324</v>
      </c>
      <c r="BF34" s="31">
        <v>4.1412014944313764</v>
      </c>
      <c r="BG34" s="31">
        <v>4.0872286606394219</v>
      </c>
      <c r="BH34" s="15">
        <v>4.0179373089184036</v>
      </c>
      <c r="BI34" s="31"/>
      <c r="BJ34" s="31"/>
      <c r="BL34" s="50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2"/>
    </row>
    <row r="35" spans="2:78" x14ac:dyDescent="0.25">
      <c r="B35" s="13">
        <v>50</v>
      </c>
      <c r="C35" s="31">
        <v>3.4102003035847299</v>
      </c>
      <c r="D35" s="31">
        <v>3.5852397193933832</v>
      </c>
      <c r="E35" s="31">
        <v>3.7783492074893514</v>
      </c>
      <c r="F35" s="31">
        <v>3.9669151666054474</v>
      </c>
      <c r="G35" s="31">
        <v>4.126166096913181</v>
      </c>
      <c r="H35" s="31">
        <v>4.2328523458812306</v>
      </c>
      <c r="I35" s="31">
        <v>4.2699369433611665</v>
      </c>
      <c r="J35" s="15">
        <v>4.23154995621283</v>
      </c>
      <c r="L35" s="13">
        <v>50</v>
      </c>
      <c r="M35" s="31">
        <v>3.3171037348690637</v>
      </c>
      <c r="N35" s="31">
        <v>3.4894328638719001</v>
      </c>
      <c r="O35" s="31">
        <v>3.6906990502357448</v>
      </c>
      <c r="P35" s="31">
        <v>3.8948539192922249</v>
      </c>
      <c r="Q35" s="31">
        <v>4.0717600051777367</v>
      </c>
      <c r="R35" s="31">
        <v>4.1935146958704808</v>
      </c>
      <c r="S35" s="31">
        <v>4.2409361141203341</v>
      </c>
      <c r="T35" s="15">
        <v>4.2085719186313328</v>
      </c>
      <c r="V35" s="13">
        <v>50</v>
      </c>
      <c r="W35" s="31">
        <v>3.3955612578870502</v>
      </c>
      <c r="X35" s="31">
        <v>3.5289073620795017</v>
      </c>
      <c r="Y35" s="31">
        <v>3.6974974757805601</v>
      </c>
      <c r="Z35" s="31">
        <v>3.8766147698283877</v>
      </c>
      <c r="AA35" s="31">
        <v>4.033165979008916</v>
      </c>
      <c r="AB35" s="31">
        <v>4.1373822706422487</v>
      </c>
      <c r="AC35" s="31">
        <v>4.1730618764513707</v>
      </c>
      <c r="AD35" s="15">
        <v>4.1410560886350769</v>
      </c>
      <c r="AF35" s="13">
        <v>50</v>
      </c>
      <c r="AG35" s="31">
        <v>3.4922684887535578</v>
      </c>
      <c r="AH35" s="31">
        <v>3.5842854307742722</v>
      </c>
      <c r="AI35" s="31">
        <v>3.7014537490368862</v>
      </c>
      <c r="AJ35" s="31">
        <v>3.8239191746767442</v>
      </c>
      <c r="AK35" s="31">
        <v>3.9248484506530921</v>
      </c>
      <c r="AL35" s="31">
        <v>3.9828167684688482</v>
      </c>
      <c r="AM35" s="31">
        <v>3.9909110913471535</v>
      </c>
      <c r="AN35" s="15">
        <v>3.9567370304717393</v>
      </c>
      <c r="AP35" s="13">
        <v>50</v>
      </c>
      <c r="AQ35" s="31">
        <v>3.4785773149551225</v>
      </c>
      <c r="AR35" s="31">
        <v>3.581767188548473</v>
      </c>
      <c r="AS35" s="31">
        <v>3.6952545569517365</v>
      </c>
      <c r="AT35" s="31">
        <v>3.7971073567621589</v>
      </c>
      <c r="AU35" s="31">
        <v>3.8677318992850291</v>
      </c>
      <c r="AV35" s="31">
        <v>3.8995703348664046</v>
      </c>
      <c r="AW35" s="31">
        <v>3.8990687094833332</v>
      </c>
      <c r="AX35" s="15">
        <v>3.8794845892059246</v>
      </c>
      <c r="AZ35" s="13">
        <v>50</v>
      </c>
      <c r="BA35" s="31">
        <v>3.2531144884494081</v>
      </c>
      <c r="BB35" s="31">
        <v>3.4484037962312768</v>
      </c>
      <c r="BC35" s="31">
        <v>3.6283307044953386</v>
      </c>
      <c r="BD35" s="31">
        <v>3.7616123070424421</v>
      </c>
      <c r="BE35" s="31">
        <v>3.8371103471387626</v>
      </c>
      <c r="BF35" s="31">
        <v>3.8633845678733088</v>
      </c>
      <c r="BG35" s="31">
        <v>3.8581777387275982</v>
      </c>
      <c r="BH35" s="15">
        <v>3.8360128387604542</v>
      </c>
      <c r="BI35" s="31"/>
      <c r="BJ35" s="31"/>
      <c r="BL35" s="53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5"/>
    </row>
    <row r="36" spans="2:78" x14ac:dyDescent="0.25">
      <c r="B36" s="13">
        <v>60</v>
      </c>
      <c r="C36" s="31">
        <v>3.2050422180140368</v>
      </c>
      <c r="D36" s="31">
        <v>3.3715327674449371</v>
      </c>
      <c r="E36" s="31">
        <v>3.5620259074236982</v>
      </c>
      <c r="F36" s="31">
        <v>3.7500506297174723</v>
      </c>
      <c r="G36" s="31">
        <v>3.9048687506794808</v>
      </c>
      <c r="H36" s="31">
        <v>3.997305533800589</v>
      </c>
      <c r="I36" s="31">
        <v>4.0081157494500879</v>
      </c>
      <c r="J36" s="15">
        <v>3.9359409374909822</v>
      </c>
      <c r="L36" s="13">
        <v>60</v>
      </c>
      <c r="M36" s="31">
        <v>3.1076454291257587</v>
      </c>
      <c r="N36" s="31">
        <v>3.260781450521729</v>
      </c>
      <c r="O36" s="31">
        <v>3.4509408085306283</v>
      </c>
      <c r="P36" s="31">
        <v>3.6502065092557512</v>
      </c>
      <c r="Q36" s="31">
        <v>3.8230988158536467</v>
      </c>
      <c r="R36" s="31">
        <v>3.9349092827172147</v>
      </c>
      <c r="S36" s="31">
        <v>3.9623768267192947</v>
      </c>
      <c r="T36" s="15">
        <v>3.9025557504329886</v>
      </c>
      <c r="V36" s="13">
        <v>60</v>
      </c>
      <c r="W36" s="31">
        <v>3.1076747286605459</v>
      </c>
      <c r="X36" s="31">
        <v>3.2223430403409608</v>
      </c>
      <c r="Y36" s="31">
        <v>3.3902531428035445</v>
      </c>
      <c r="Z36" s="31">
        <v>3.5825007938759095</v>
      </c>
      <c r="AA36" s="31">
        <v>3.756239356111176</v>
      </c>
      <c r="AB36" s="31">
        <v>3.8702528224232067</v>
      </c>
      <c r="AC36" s="31">
        <v>3.9010829787147308</v>
      </c>
      <c r="AD36" s="15">
        <v>3.851040730571909</v>
      </c>
      <c r="AF36" s="13">
        <v>60</v>
      </c>
      <c r="AG36" s="31">
        <v>3.1521907258283886</v>
      </c>
      <c r="AH36" s="31">
        <v>3.2270688531949903</v>
      </c>
      <c r="AI36" s="31">
        <v>3.3529525104719733</v>
      </c>
      <c r="AJ36" s="31">
        <v>3.5050294336327186</v>
      </c>
      <c r="AK36" s="31">
        <v>3.6449517624955101</v>
      </c>
      <c r="AL36" s="31">
        <v>3.7377579931942226</v>
      </c>
      <c r="AM36" s="31">
        <v>3.7669685254831116</v>
      </c>
      <c r="AN36" s="15">
        <v>3.738800517463793</v>
      </c>
      <c r="AP36" s="13">
        <v>60</v>
      </c>
      <c r="AQ36" s="31">
        <v>3.1073489157248373</v>
      </c>
      <c r="AR36" s="31">
        <v>3.1784332219599811</v>
      </c>
      <c r="AS36" s="31">
        <v>3.2910175513781512</v>
      </c>
      <c r="AT36" s="31">
        <v>3.422095279601014</v>
      </c>
      <c r="AU36" s="31">
        <v>3.5421171175331949</v>
      </c>
      <c r="AV36" s="31">
        <v>3.628349229613669</v>
      </c>
      <c r="AW36" s="31">
        <v>3.6732309052828169</v>
      </c>
      <c r="AX36" s="15">
        <v>3.6829395768315445</v>
      </c>
      <c r="AZ36" s="13">
        <v>60</v>
      </c>
      <c r="BA36" s="31">
        <v>2.8585909687835236</v>
      </c>
      <c r="BB36" s="31">
        <v>3.0374333854436211</v>
      </c>
      <c r="BC36" s="31">
        <v>3.2263280783594048</v>
      </c>
      <c r="BD36" s="31">
        <v>3.390236868803743</v>
      </c>
      <c r="BE36" s="31">
        <v>3.5098756013072476</v>
      </c>
      <c r="BF36" s="31">
        <v>3.5841077439941067</v>
      </c>
      <c r="BG36" s="31">
        <v>3.6227625216423616</v>
      </c>
      <c r="BH36" s="15">
        <v>3.6365423087329738</v>
      </c>
      <c r="BI36" s="31"/>
      <c r="BJ36" s="31"/>
    </row>
    <row r="37" spans="2:78" x14ac:dyDescent="0.25">
      <c r="B37" s="13">
        <v>70</v>
      </c>
      <c r="C37" s="31">
        <v>2.9828193422060885</v>
      </c>
      <c r="D37" s="31">
        <v>3.1124845191579551</v>
      </c>
      <c r="E37" s="31">
        <v>3.2793408749873225</v>
      </c>
      <c r="F37" s="31">
        <v>3.4585354719350301</v>
      </c>
      <c r="G37" s="31">
        <v>3.6155517843781606</v>
      </c>
      <c r="H37" s="31">
        <v>3.7138209433197109</v>
      </c>
      <c r="I37" s="31">
        <v>3.7273933985314454</v>
      </c>
      <c r="J37" s="15">
        <v>3.6531303530341841</v>
      </c>
      <c r="L37" s="13">
        <v>70</v>
      </c>
      <c r="M37" s="31">
        <v>2.9075659667993068</v>
      </c>
      <c r="N37" s="31">
        <v>3.0181086054034516</v>
      </c>
      <c r="O37" s="31">
        <v>3.1763820169952872</v>
      </c>
      <c r="P37" s="31">
        <v>3.3583309925405924</v>
      </c>
      <c r="Q37" s="31">
        <v>3.5270408528677</v>
      </c>
      <c r="R37" s="31">
        <v>3.6418008675257894</v>
      </c>
      <c r="S37" s="31">
        <v>3.6725474742149307</v>
      </c>
      <c r="T37" s="15">
        <v>3.613242608320351</v>
      </c>
      <c r="V37" s="13">
        <v>70</v>
      </c>
      <c r="W37" s="31">
        <v>2.8445797048543668</v>
      </c>
      <c r="X37" s="31">
        <v>2.9238321018604614</v>
      </c>
      <c r="Y37" s="31">
        <v>3.0714932674420421</v>
      </c>
      <c r="Z37" s="31">
        <v>3.2603036178765139</v>
      </c>
      <c r="AA37" s="31">
        <v>3.4438263960200652</v>
      </c>
      <c r="AB37" s="31">
        <v>3.57323332143429</v>
      </c>
      <c r="AC37" s="31">
        <v>3.617253820388405</v>
      </c>
      <c r="AD37" s="15">
        <v>3.5745494295471563</v>
      </c>
      <c r="AF37" s="13">
        <v>70</v>
      </c>
      <c r="AG37" s="31">
        <v>2.860304946389344</v>
      </c>
      <c r="AH37" s="31">
        <v>2.9089857012727784</v>
      </c>
      <c r="AI37" s="31">
        <v>3.0263385183596636</v>
      </c>
      <c r="AJ37" s="31">
        <v>3.1872686417378313</v>
      </c>
      <c r="AK37" s="31">
        <v>3.3486710632584615</v>
      </c>
      <c r="AL37" s="31">
        <v>3.4678323328056866</v>
      </c>
      <c r="AM37" s="31">
        <v>3.520736054589177</v>
      </c>
      <c r="AN37" s="15">
        <v>3.5096886361126405</v>
      </c>
      <c r="AP37" s="13">
        <v>70</v>
      </c>
      <c r="AQ37" s="31">
        <v>2.8065337973601991</v>
      </c>
      <c r="AR37" s="31">
        <v>2.8391719934733768</v>
      </c>
      <c r="AS37" s="31">
        <v>2.9340337803260672</v>
      </c>
      <c r="AT37" s="31">
        <v>3.0711135008323573</v>
      </c>
      <c r="AU37" s="31">
        <v>3.2173315001820124</v>
      </c>
      <c r="AV37" s="31">
        <v>3.3407124745407444</v>
      </c>
      <c r="AW37" s="31">
        <v>3.422611640577407</v>
      </c>
      <c r="AX37" s="15">
        <v>3.4612988822436246</v>
      </c>
      <c r="AZ37" s="13">
        <v>70</v>
      </c>
      <c r="BA37" s="31">
        <v>2.596733139558876</v>
      </c>
      <c r="BB37" s="31">
        <v>2.7378840961904967</v>
      </c>
      <c r="BC37" s="31">
        <v>2.908506825364098</v>
      </c>
      <c r="BD37" s="31">
        <v>3.0742777363567155</v>
      </c>
      <c r="BE37" s="31">
        <v>3.2105166594981513</v>
      </c>
      <c r="BF37" s="31">
        <v>3.3074011040633211</v>
      </c>
      <c r="BG37" s="31">
        <v>3.3672664329814728</v>
      </c>
      <c r="BH37" s="15">
        <v>3.3979601281128016</v>
      </c>
      <c r="BI37" s="31"/>
      <c r="BJ37" s="31"/>
    </row>
    <row r="38" spans="2:78" ht="15.75" thickBot="1" x14ac:dyDescent="0.3">
      <c r="B38" s="16">
        <v>80</v>
      </c>
      <c r="C38" s="17">
        <v>2.7925683472025677</v>
      </c>
      <c r="D38" s="17">
        <v>2.8616993035559912</v>
      </c>
      <c r="E38" s="17">
        <v>2.9807619673873686</v>
      </c>
      <c r="F38" s="17">
        <v>3.1326039999256348</v>
      </c>
      <c r="G38" s="17">
        <v>3.2848231029337751</v>
      </c>
      <c r="H38" s="17">
        <v>3.3974079142172133</v>
      </c>
      <c r="I38" s="17">
        <v>3.4378260168640473</v>
      </c>
      <c r="J38" s="18">
        <v>3.3964242314613413</v>
      </c>
      <c r="L38" s="16">
        <v>80</v>
      </c>
      <c r="M38" s="17">
        <v>2.7453282319512224</v>
      </c>
      <c r="N38" s="17">
        <v>2.7927042217225679</v>
      </c>
      <c r="O38" s="17">
        <v>2.8959778974973815</v>
      </c>
      <c r="P38" s="17">
        <v>3.0410598144037797</v>
      </c>
      <c r="Q38" s="17">
        <v>3.1963324817992023</v>
      </c>
      <c r="R38" s="17">
        <v>3.3202071910895241</v>
      </c>
      <c r="S38" s="17">
        <v>3.3768419511921026</v>
      </c>
      <c r="T38" s="18">
        <v>3.3526438681765205</v>
      </c>
      <c r="V38" s="16">
        <v>80</v>
      </c>
      <c r="W38" s="17">
        <v>2.6658082435733625</v>
      </c>
      <c r="X38" s="17">
        <v>2.6969112448675077</v>
      </c>
      <c r="Y38" s="17">
        <v>2.8026684708146554</v>
      </c>
      <c r="Z38" s="17">
        <v>2.9637693423273297</v>
      </c>
      <c r="AA38" s="17">
        <v>3.1390105385234861</v>
      </c>
      <c r="AB38" s="17">
        <v>3.2798195525381781</v>
      </c>
      <c r="AC38" s="17">
        <v>3.3502085324895967</v>
      </c>
      <c r="AD38" s="18">
        <v>3.3415502531713805</v>
      </c>
      <c r="AF38" s="16">
        <v>80</v>
      </c>
      <c r="AG38" s="17">
        <v>2.6933748464901193</v>
      </c>
      <c r="AH38" s="17">
        <v>2.7098878649866327</v>
      </c>
      <c r="AI38" s="17">
        <v>2.7984361374916107</v>
      </c>
      <c r="AJ38" s="17">
        <v>2.9391274299338672</v>
      </c>
      <c r="AK38" s="17">
        <v>3.0932678610387661</v>
      </c>
      <c r="AL38" s="17">
        <v>3.2194877492950145</v>
      </c>
      <c r="AM38" s="17">
        <v>3.2912066907158999</v>
      </c>
      <c r="AN38" s="18">
        <v>3.3056138248056657</v>
      </c>
      <c r="AP38" s="16">
        <v>80</v>
      </c>
      <c r="AQ38" s="17">
        <v>2.6458354346853437</v>
      </c>
      <c r="AR38" s="17">
        <v>2.6386272045862471</v>
      </c>
      <c r="AS38" s="17">
        <v>2.6979935739170107</v>
      </c>
      <c r="AT38" s="17">
        <v>2.8110483588764752</v>
      </c>
      <c r="AU38" s="17">
        <v>2.9495319487398293</v>
      </c>
      <c r="AV38" s="17">
        <v>3.0815225597829787</v>
      </c>
      <c r="AW38" s="17">
        <v>3.1836857914770258</v>
      </c>
      <c r="AX38" s="18">
        <v>3.2475528566776353</v>
      </c>
      <c r="AZ38" s="16">
        <v>80</v>
      </c>
      <c r="BA38" s="17">
        <v>2.5171946788245947</v>
      </c>
      <c r="BB38" s="17">
        <v>2.6007505095537287</v>
      </c>
      <c r="BC38" s="17">
        <v>2.7195026608521014</v>
      </c>
      <c r="BD38" s="17">
        <v>2.8459572287981372</v>
      </c>
      <c r="BE38" s="17">
        <v>2.95703645939036</v>
      </c>
      <c r="BF38" s="17">
        <v>3.0403160360460175</v>
      </c>
      <c r="BG38" s="17">
        <v>3.0946112940611594</v>
      </c>
      <c r="BH38" s="18">
        <v>3.1263430680686142</v>
      </c>
      <c r="BI38" s="31"/>
      <c r="BJ38" s="31"/>
    </row>
    <row r="39" spans="2:78" ht="15.75" thickBot="1" x14ac:dyDescent="0.3">
      <c r="C39" s="1"/>
      <c r="D39" s="1"/>
      <c r="E39" s="1"/>
      <c r="F39" s="1"/>
      <c r="G39" s="1"/>
      <c r="H39" s="1"/>
      <c r="I39" s="1"/>
      <c r="J39" s="1"/>
    </row>
    <row r="40" spans="2:78" x14ac:dyDescent="0.25">
      <c r="B40" s="5" t="s">
        <v>30</v>
      </c>
      <c r="C40" s="6" t="s">
        <v>10</v>
      </c>
      <c r="D40" s="7"/>
      <c r="E40" s="8"/>
      <c r="F40" s="8"/>
      <c r="G40" s="8"/>
      <c r="H40" s="8"/>
      <c r="I40" s="8"/>
      <c r="J40" s="9"/>
      <c r="L40" s="5" t="s">
        <v>30</v>
      </c>
      <c r="M40" s="6" t="s">
        <v>10</v>
      </c>
      <c r="N40" s="7"/>
      <c r="O40" s="8"/>
      <c r="P40" s="8"/>
      <c r="Q40" s="8"/>
      <c r="R40" s="8"/>
      <c r="S40" s="8"/>
      <c r="T40" s="9"/>
      <c r="V40" s="5" t="s">
        <v>30</v>
      </c>
      <c r="W40" s="6" t="s">
        <v>10</v>
      </c>
      <c r="X40" s="7"/>
      <c r="Y40" s="8"/>
      <c r="Z40" s="8"/>
      <c r="AA40" s="8"/>
      <c r="AB40" s="8"/>
      <c r="AC40" s="8"/>
      <c r="AD40" s="9"/>
      <c r="AF40" s="5" t="s">
        <v>30</v>
      </c>
      <c r="AG40" s="6" t="s">
        <v>10</v>
      </c>
      <c r="AH40" s="7"/>
      <c r="AI40" s="8"/>
      <c r="AJ40" s="8"/>
      <c r="AK40" s="8"/>
      <c r="AL40" s="8"/>
      <c r="AM40" s="8"/>
      <c r="AN40" s="9"/>
      <c r="AP40" s="5" t="s">
        <v>30</v>
      </c>
      <c r="AQ40" s="6" t="s">
        <v>10</v>
      </c>
      <c r="AR40" s="7"/>
      <c r="AS40" s="8"/>
      <c r="AT40" s="8"/>
      <c r="AU40" s="8"/>
      <c r="AV40" s="8"/>
      <c r="AW40" s="8"/>
      <c r="AX40" s="9"/>
      <c r="AZ40" s="5" t="s">
        <v>30</v>
      </c>
      <c r="BA40" s="6" t="s">
        <v>10</v>
      </c>
      <c r="BB40" s="7"/>
      <c r="BC40" s="8"/>
      <c r="BD40" s="8"/>
      <c r="BE40" s="8"/>
      <c r="BF40" s="8"/>
      <c r="BG40" s="8"/>
      <c r="BH40" s="9"/>
      <c r="BI40" s="65"/>
      <c r="BJ40" s="65"/>
    </row>
    <row r="41" spans="2:78" x14ac:dyDescent="0.25">
      <c r="B41" s="10" t="s">
        <v>11</v>
      </c>
      <c r="C41" s="11">
        <v>30</v>
      </c>
      <c r="D41" s="11">
        <v>40</v>
      </c>
      <c r="E41" s="11">
        <v>50</v>
      </c>
      <c r="F41" s="11">
        <v>60</v>
      </c>
      <c r="G41" s="11">
        <v>70</v>
      </c>
      <c r="H41" s="11">
        <v>80</v>
      </c>
      <c r="I41" s="11">
        <v>90</v>
      </c>
      <c r="J41" s="12">
        <v>100</v>
      </c>
      <c r="L41" s="10" t="s">
        <v>11</v>
      </c>
      <c r="M41" s="11">
        <v>30</v>
      </c>
      <c r="N41" s="11">
        <v>40</v>
      </c>
      <c r="O41" s="11">
        <v>50</v>
      </c>
      <c r="P41" s="11">
        <v>60</v>
      </c>
      <c r="Q41" s="11">
        <v>70</v>
      </c>
      <c r="R41" s="11">
        <v>80</v>
      </c>
      <c r="S41" s="11">
        <v>90</v>
      </c>
      <c r="T41" s="12">
        <v>100</v>
      </c>
      <c r="V41" s="10" t="s">
        <v>11</v>
      </c>
      <c r="W41" s="11">
        <v>30</v>
      </c>
      <c r="X41" s="11">
        <v>40</v>
      </c>
      <c r="Y41" s="11">
        <v>50</v>
      </c>
      <c r="Z41" s="11">
        <v>60</v>
      </c>
      <c r="AA41" s="11">
        <v>70</v>
      </c>
      <c r="AB41" s="11">
        <v>80</v>
      </c>
      <c r="AC41" s="11">
        <v>90</v>
      </c>
      <c r="AD41" s="12">
        <v>100</v>
      </c>
      <c r="AF41" s="10" t="s">
        <v>11</v>
      </c>
      <c r="AG41" s="11">
        <v>30</v>
      </c>
      <c r="AH41" s="11">
        <v>40</v>
      </c>
      <c r="AI41" s="11">
        <v>50</v>
      </c>
      <c r="AJ41" s="11">
        <v>60</v>
      </c>
      <c r="AK41" s="11">
        <v>70</v>
      </c>
      <c r="AL41" s="11">
        <v>80</v>
      </c>
      <c r="AM41" s="11">
        <v>90</v>
      </c>
      <c r="AN41" s="12">
        <v>100</v>
      </c>
      <c r="AP41" s="10" t="s">
        <v>11</v>
      </c>
      <c r="AQ41" s="11">
        <v>30</v>
      </c>
      <c r="AR41" s="11">
        <v>40</v>
      </c>
      <c r="AS41" s="11">
        <v>50</v>
      </c>
      <c r="AT41" s="11">
        <v>60</v>
      </c>
      <c r="AU41" s="11">
        <v>70</v>
      </c>
      <c r="AV41" s="11">
        <v>80</v>
      </c>
      <c r="AW41" s="11">
        <v>90</v>
      </c>
      <c r="AX41" s="12">
        <v>100</v>
      </c>
      <c r="AZ41" s="10" t="s">
        <v>11</v>
      </c>
      <c r="BA41" s="11">
        <v>30</v>
      </c>
      <c r="BB41" s="11">
        <v>40</v>
      </c>
      <c r="BC41" s="11">
        <v>50</v>
      </c>
      <c r="BD41" s="11">
        <v>60</v>
      </c>
      <c r="BE41" s="11">
        <v>70</v>
      </c>
      <c r="BF41" s="11">
        <v>80</v>
      </c>
      <c r="BG41" s="11">
        <v>90</v>
      </c>
      <c r="BH41" s="12">
        <v>100</v>
      </c>
      <c r="BI41" s="65"/>
      <c r="BJ41" s="65"/>
    </row>
    <row r="42" spans="2:78" x14ac:dyDescent="0.25">
      <c r="B42" s="13">
        <v>30</v>
      </c>
      <c r="C42" s="31">
        <v>0.46993153303014312</v>
      </c>
      <c r="D42" s="31">
        <v>0.48246797264059699</v>
      </c>
      <c r="E42" s="31">
        <v>0.49370366938184213</v>
      </c>
      <c r="F42" s="31">
        <v>0.50355707140579031</v>
      </c>
      <c r="G42" s="31">
        <v>0.51331469246163242</v>
      </c>
      <c r="H42" s="31">
        <v>0.52460581932348871</v>
      </c>
      <c r="I42" s="31">
        <v>0.53805107789485684</v>
      </c>
      <c r="J42" s="15">
        <v>0.55242368458430424</v>
      </c>
      <c r="L42" s="13">
        <v>30</v>
      </c>
      <c r="M42" s="31">
        <v>0.46897402174442593</v>
      </c>
      <c r="N42" s="31">
        <v>0.48568629883255005</v>
      </c>
      <c r="O42" s="31">
        <v>0.49965765877692697</v>
      </c>
      <c r="P42" s="31">
        <v>0.51052290583622595</v>
      </c>
      <c r="Q42" s="31">
        <v>0.51997381037399903</v>
      </c>
      <c r="R42" s="31">
        <v>0.53038816800405841</v>
      </c>
      <c r="S42" s="31">
        <v>0.54307225475686616</v>
      </c>
      <c r="T42" s="15">
        <v>0.55712076486772033</v>
      </c>
      <c r="V42" s="13">
        <v>30</v>
      </c>
      <c r="W42" s="31">
        <v>0.47637297540692053</v>
      </c>
      <c r="X42" s="31">
        <v>0.4903270543235716</v>
      </c>
      <c r="Y42" s="31">
        <v>0.50218546909468453</v>
      </c>
      <c r="Z42" s="31">
        <v>0.5119145011268269</v>
      </c>
      <c r="AA42" s="31">
        <v>0.52113665008827481</v>
      </c>
      <c r="AB42" s="31">
        <v>0.53190339540688536</v>
      </c>
      <c r="AC42" s="31">
        <v>0.54504923279388839</v>
      </c>
      <c r="AD42" s="15">
        <v>0.55915261541797057</v>
      </c>
      <c r="AF42" s="13">
        <v>30</v>
      </c>
      <c r="AG42" s="31">
        <v>0.48034469948650699</v>
      </c>
      <c r="AH42" s="31">
        <v>0.4896943558068827</v>
      </c>
      <c r="AI42" s="31">
        <v>0.49869350562566178</v>
      </c>
      <c r="AJ42" s="31">
        <v>0.50778474508645466</v>
      </c>
      <c r="AK42" s="31">
        <v>0.51802027120667637</v>
      </c>
      <c r="AL42" s="31">
        <v>0.53022421622166693</v>
      </c>
      <c r="AM42" s="31">
        <v>0.54393603116020528</v>
      </c>
      <c r="AN42" s="15">
        <v>0.55688950765799161</v>
      </c>
      <c r="AP42" s="13">
        <v>30</v>
      </c>
      <c r="AQ42" s="31">
        <v>0.46762638465213513</v>
      </c>
      <c r="AR42" s="31">
        <v>0.48066030897935791</v>
      </c>
      <c r="AS42" s="31">
        <v>0.49402552921346493</v>
      </c>
      <c r="AT42" s="31">
        <v>0.50722041765286552</v>
      </c>
      <c r="AU42" s="31">
        <v>0.52038613346728935</v>
      </c>
      <c r="AV42" s="31">
        <v>0.53371442527202451</v>
      </c>
      <c r="AW42" s="31">
        <v>0.54656339801094445</v>
      </c>
      <c r="AX42" s="15">
        <v>0.55697187968588369</v>
      </c>
      <c r="AZ42" s="13">
        <v>30</v>
      </c>
      <c r="BA42" s="31">
        <v>0.44917472073894033</v>
      </c>
      <c r="BB42" s="31">
        <v>0.46040240722234865</v>
      </c>
      <c r="BC42" s="31">
        <v>0.47760967501581708</v>
      </c>
      <c r="BD42" s="31">
        <v>0.49953779895834721</v>
      </c>
      <c r="BE42" s="31">
        <v>0.52349997077060806</v>
      </c>
      <c r="BF42" s="31">
        <v>0.54573903416167313</v>
      </c>
      <c r="BG42" s="31">
        <v>0.56224073213284609</v>
      </c>
      <c r="BH42" s="15">
        <v>0.56993331073576359</v>
      </c>
      <c r="BI42" s="31"/>
      <c r="BJ42" s="31"/>
    </row>
    <row r="43" spans="2:78" x14ac:dyDescent="0.25">
      <c r="B43" s="13">
        <v>40</v>
      </c>
      <c r="C43" s="31">
        <v>0.42853853182968604</v>
      </c>
      <c r="D43" s="31">
        <v>0.44286772345293052</v>
      </c>
      <c r="E43" s="31">
        <v>0.4562060894927224</v>
      </c>
      <c r="F43" s="31">
        <v>0.46793383575504494</v>
      </c>
      <c r="G43" s="31">
        <v>0.47966701585181909</v>
      </c>
      <c r="H43" s="31">
        <v>0.49382985282541281</v>
      </c>
      <c r="I43" s="31">
        <v>0.51166213273054384</v>
      </c>
      <c r="J43" s="15">
        <v>0.53192283214500957</v>
      </c>
      <c r="L43" s="13">
        <v>40</v>
      </c>
      <c r="M43" s="31">
        <v>0.42649391486888588</v>
      </c>
      <c r="N43" s="31">
        <v>0.44398092690091379</v>
      </c>
      <c r="O43" s="31">
        <v>0.45953476309616142</v>
      </c>
      <c r="P43" s="31">
        <v>0.4722851282177028</v>
      </c>
      <c r="Q43" s="31">
        <v>0.48420722438244618</v>
      </c>
      <c r="R43" s="31">
        <v>0.49833263350511048</v>
      </c>
      <c r="S43" s="31">
        <v>0.51638117818276297</v>
      </c>
      <c r="T43" s="15">
        <v>0.53723640448010301</v>
      </c>
      <c r="V43" s="13">
        <v>40</v>
      </c>
      <c r="W43" s="31">
        <v>0.43490353334054471</v>
      </c>
      <c r="X43" s="31">
        <v>0.45004559073805012</v>
      </c>
      <c r="Y43" s="31">
        <v>0.46411481973049273</v>
      </c>
      <c r="Z43" s="31">
        <v>0.47632427423219453</v>
      </c>
      <c r="AA43" s="31">
        <v>0.48829812344119222</v>
      </c>
      <c r="AB43" s="31">
        <v>0.50259646508135569</v>
      </c>
      <c r="AC43" s="31">
        <v>0.52051677604450497</v>
      </c>
      <c r="AD43" s="15">
        <v>0.54059083409977082</v>
      </c>
      <c r="AF43" s="13">
        <v>40</v>
      </c>
      <c r="AG43" s="31">
        <v>0.44519410475908394</v>
      </c>
      <c r="AH43" s="31">
        <v>0.45486570025299239</v>
      </c>
      <c r="AI43" s="31">
        <v>0.46563577891656477</v>
      </c>
      <c r="AJ43" s="31">
        <v>0.47736545253037954</v>
      </c>
      <c r="AK43" s="31">
        <v>0.49085520867133059</v>
      </c>
      <c r="AL43" s="31">
        <v>0.50700711747677429</v>
      </c>
      <c r="AM43" s="31">
        <v>0.5254803540176034</v>
      </c>
      <c r="AN43" s="15">
        <v>0.54381932956262069</v>
      </c>
      <c r="AP43" s="13">
        <v>40</v>
      </c>
      <c r="AQ43" s="31">
        <v>0.43174575258743236</v>
      </c>
      <c r="AR43" s="31">
        <v>0.44479171676943635</v>
      </c>
      <c r="AS43" s="31">
        <v>0.45979451611249561</v>
      </c>
      <c r="AT43" s="31">
        <v>0.47551192011160592</v>
      </c>
      <c r="AU43" s="31">
        <v>0.49167630025831316</v>
      </c>
      <c r="AV43" s="31">
        <v>0.50846373503455411</v>
      </c>
      <c r="AW43" s="31">
        <v>0.5253536851977989</v>
      </c>
      <c r="AX43" s="15">
        <v>0.54030809573559124</v>
      </c>
      <c r="AZ43" s="13">
        <v>40</v>
      </c>
      <c r="BA43" s="31">
        <v>0.4214249847475493</v>
      </c>
      <c r="BB43" s="31">
        <v>0.43184723929419716</v>
      </c>
      <c r="BC43" s="31">
        <v>0.44866454169197301</v>
      </c>
      <c r="BD43" s="31">
        <v>0.47029977630424441</v>
      </c>
      <c r="BE43" s="31">
        <v>0.49410249196695144</v>
      </c>
      <c r="BF43" s="31">
        <v>0.51660276291070728</v>
      </c>
      <c r="BG43" s="31">
        <v>0.5341412601834008</v>
      </c>
      <c r="BH43" s="15">
        <v>0.54391917175995419</v>
      </c>
      <c r="BI43" s="31"/>
      <c r="BJ43" s="31"/>
    </row>
    <row r="44" spans="2:78" x14ac:dyDescent="0.25">
      <c r="B44" s="13">
        <v>50</v>
      </c>
      <c r="C44" s="31">
        <v>0.37598430805607191</v>
      </c>
      <c r="D44" s="31">
        <v>0.39408325106267422</v>
      </c>
      <c r="E44" s="31">
        <v>0.41139965036873311</v>
      </c>
      <c r="F44" s="31">
        <v>0.42599626919418815</v>
      </c>
      <c r="G44" s="31">
        <v>0.43944245537222359</v>
      </c>
      <c r="H44" s="31">
        <v>0.45506008675558479</v>
      </c>
      <c r="I44" s="31">
        <v>0.47524633197923843</v>
      </c>
      <c r="J44" s="15">
        <v>0.4995045571212498</v>
      </c>
      <c r="L44" s="13">
        <v>50</v>
      </c>
      <c r="M44" s="31">
        <v>0.37261467525319386</v>
      </c>
      <c r="N44" s="31">
        <v>0.39243341009880406</v>
      </c>
      <c r="O44" s="31">
        <v>0.41140118855069735</v>
      </c>
      <c r="P44" s="31">
        <v>0.42717631716144067</v>
      </c>
      <c r="Q44" s="31">
        <v>0.4414032687907446</v>
      </c>
      <c r="R44" s="31">
        <v>0.45770722011290577</v>
      </c>
      <c r="S44" s="31">
        <v>0.47872777842248398</v>
      </c>
      <c r="T44" s="15">
        <v>0.50399687923244663</v>
      </c>
      <c r="V44" s="13">
        <v>50</v>
      </c>
      <c r="W44" s="31">
        <v>0.37897387558787021</v>
      </c>
      <c r="X44" s="31">
        <v>0.39651091291760621</v>
      </c>
      <c r="Y44" s="31">
        <v>0.4146176192766185</v>
      </c>
      <c r="Z44" s="31">
        <v>0.43070061556758094</v>
      </c>
      <c r="AA44" s="31">
        <v>0.44568874794128055</v>
      </c>
      <c r="AB44" s="31">
        <v>0.46252621035607777</v>
      </c>
      <c r="AC44" s="31">
        <v>0.48341925292208648</v>
      </c>
      <c r="AD44" s="15">
        <v>0.50767555867655989</v>
      </c>
      <c r="AF44" s="13">
        <v>50</v>
      </c>
      <c r="AG44" s="31">
        <v>0.3946918095150691</v>
      </c>
      <c r="AH44" s="31">
        <v>0.40517910365076504</v>
      </c>
      <c r="AI44" s="31">
        <v>0.41903445013235163</v>
      </c>
      <c r="AJ44" s="31">
        <v>0.43467238753243881</v>
      </c>
      <c r="AK44" s="31">
        <v>0.45196998541783434</v>
      </c>
      <c r="AL44" s="31">
        <v>0.47170889674141042</v>
      </c>
      <c r="AM44" s="31">
        <v>0.49397071613779198</v>
      </c>
      <c r="AN44" s="15">
        <v>0.51674299370812482</v>
      </c>
      <c r="AP44" s="13">
        <v>50</v>
      </c>
      <c r="AQ44" s="31">
        <v>0.38420173673076441</v>
      </c>
      <c r="AR44" s="31">
        <v>0.39746361463389485</v>
      </c>
      <c r="AS44" s="31">
        <v>0.41497151343646205</v>
      </c>
      <c r="AT44" s="31">
        <v>0.43394341341921383</v>
      </c>
      <c r="AU44" s="31">
        <v>0.45311684839588778</v>
      </c>
      <c r="AV44" s="31">
        <v>0.4725379465714572</v>
      </c>
      <c r="AW44" s="31">
        <v>0.49216089184119061</v>
      </c>
      <c r="AX44" s="15">
        <v>0.51051133968010254</v>
      </c>
      <c r="AZ44" s="13">
        <v>50</v>
      </c>
      <c r="BA44" s="31">
        <v>0.38524936587122521</v>
      </c>
      <c r="BB44" s="31">
        <v>0.39520194348272175</v>
      </c>
      <c r="BC44" s="31">
        <v>0.41128116940751974</v>
      </c>
      <c r="BD44" s="31">
        <v>0.43122648795358487</v>
      </c>
      <c r="BE44" s="31">
        <v>0.4526419506862896</v>
      </c>
      <c r="BF44" s="31">
        <v>0.47307980692222018</v>
      </c>
      <c r="BG44" s="31">
        <v>0.49016121734858947</v>
      </c>
      <c r="BH44" s="15">
        <v>0.50198341974560812</v>
      </c>
      <c r="BI44" s="31"/>
      <c r="BJ44" s="31"/>
    </row>
    <row r="45" spans="2:78" x14ac:dyDescent="0.25">
      <c r="B45" s="13">
        <v>60</v>
      </c>
      <c r="C45" s="31">
        <v>0.3171442162942395</v>
      </c>
      <c r="D45" s="31">
        <v>0.33957560120184593</v>
      </c>
      <c r="E45" s="31">
        <v>0.36258586458170888</v>
      </c>
      <c r="F45" s="31">
        <v>0.38220743066718693</v>
      </c>
      <c r="G45" s="31">
        <v>0.39914997265782726</v>
      </c>
      <c r="H45" s="31">
        <v>0.41695395945737523</v>
      </c>
      <c r="I45" s="31">
        <v>0.43887009919797104</v>
      </c>
      <c r="J45" s="15">
        <v>0.46538907505598481</v>
      </c>
      <c r="L45" s="13">
        <v>60</v>
      </c>
      <c r="M45" s="31">
        <v>0.31321481571904997</v>
      </c>
      <c r="N45" s="31">
        <v>0.33626783290810763</v>
      </c>
      <c r="O45" s="31">
        <v>0.36071449320137489</v>
      </c>
      <c r="P45" s="31">
        <v>0.3818258893886764</v>
      </c>
      <c r="Q45" s="31">
        <v>0.39994033220041852</v>
      </c>
      <c r="R45" s="31">
        <v>0.41859564294980289</v>
      </c>
      <c r="S45" s="31">
        <v>0.44117465831678415</v>
      </c>
      <c r="T45" s="15">
        <v>0.46827285488579218</v>
      </c>
      <c r="V45" s="13">
        <v>60</v>
      </c>
      <c r="W45" s="31">
        <v>0.3165533398847179</v>
      </c>
      <c r="X45" s="31">
        <v>0.33674831347201567</v>
      </c>
      <c r="Y45" s="31">
        <v>0.3603569211936713</v>
      </c>
      <c r="Z45" s="31">
        <v>0.38207397905459389</v>
      </c>
      <c r="AA45" s="31">
        <v>0.40127886907150628</v>
      </c>
      <c r="AB45" s="31">
        <v>0.42077915355504902</v>
      </c>
      <c r="AC45" s="31">
        <v>0.4435749215897673</v>
      </c>
      <c r="AD45" s="15">
        <v>0.47010562762202462</v>
      </c>
      <c r="AF45" s="13">
        <v>60</v>
      </c>
      <c r="AG45" s="31">
        <v>0.3382690110785303</v>
      </c>
      <c r="AH45" s="31">
        <v>0.34931496345456248</v>
      </c>
      <c r="AI45" s="31">
        <v>0.36690401234738163</v>
      </c>
      <c r="AJ45" s="31">
        <v>0.38729196163324958</v>
      </c>
      <c r="AK45" s="31">
        <v>0.40878926114833347</v>
      </c>
      <c r="AL45" s="31">
        <v>0.43176666700819288</v>
      </c>
      <c r="AM45" s="31">
        <v>0.45678560962915976</v>
      </c>
      <c r="AN45" s="15">
        <v>0.48264049220089938</v>
      </c>
      <c r="AP45" s="13">
        <v>60</v>
      </c>
      <c r="AQ45" s="31">
        <v>0.33471548589673294</v>
      </c>
      <c r="AR45" s="31">
        <v>0.34774251158823388</v>
      </c>
      <c r="AS45" s="31">
        <v>0.36794204563730271</v>
      </c>
      <c r="AT45" s="31">
        <v>0.39046558295251088</v>
      </c>
      <c r="AU45" s="31">
        <v>0.41258876296858604</v>
      </c>
      <c r="AV45" s="31">
        <v>0.43407490535895715</v>
      </c>
      <c r="AW45" s="31">
        <v>0.45546028045869114</v>
      </c>
      <c r="AX45" s="15">
        <v>0.47612239235106613</v>
      </c>
      <c r="AZ45" s="13">
        <v>60</v>
      </c>
      <c r="BA45" s="31">
        <v>0.34479134101946657</v>
      </c>
      <c r="BB45" s="31">
        <v>0.35449370415517684</v>
      </c>
      <c r="BC45" s="31">
        <v>0.37020641538923066</v>
      </c>
      <c r="BD45" s="31">
        <v>0.38865007293301984</v>
      </c>
      <c r="BE45" s="31">
        <v>0.40767148059575725</v>
      </c>
      <c r="BF45" s="31">
        <v>0.42605892316137423</v>
      </c>
      <c r="BG45" s="31">
        <v>0.44293634064858384</v>
      </c>
      <c r="BH45" s="15">
        <v>0.45734288264905898</v>
      </c>
      <c r="BI45" s="31"/>
      <c r="BJ45" s="31"/>
    </row>
    <row r="46" spans="2:78" x14ac:dyDescent="0.25">
      <c r="B46" s="13">
        <v>70</v>
      </c>
      <c r="C46" s="31">
        <v>0.25942233238393669</v>
      </c>
      <c r="D46" s="31">
        <v>0.28106005219045954</v>
      </c>
      <c r="E46" s="31">
        <v>0.30708144848989161</v>
      </c>
      <c r="F46" s="31">
        <v>0.33157647672092327</v>
      </c>
      <c r="G46" s="31">
        <v>0.35356533614950564</v>
      </c>
      <c r="H46" s="31">
        <v>0.3756133860058446</v>
      </c>
      <c r="I46" s="31">
        <v>0.40069517731841608</v>
      </c>
      <c r="J46" s="15">
        <v>0.42960018594978006</v>
      </c>
      <c r="L46" s="13">
        <v>70</v>
      </c>
      <c r="M46" s="31">
        <v>0.25699471412880764</v>
      </c>
      <c r="N46" s="31">
        <v>0.27852546134503336</v>
      </c>
      <c r="O46" s="31">
        <v>0.30574291618359051</v>
      </c>
      <c r="P46" s="31">
        <v>0.3317959998082517</v>
      </c>
      <c r="Q46" s="31">
        <v>0.35496265881697531</v>
      </c>
      <c r="R46" s="31">
        <v>0.37756463829891834</v>
      </c>
      <c r="S46" s="31">
        <v>0.4026702469768394</v>
      </c>
      <c r="T46" s="15">
        <v>0.43128576340930902</v>
      </c>
      <c r="V46" s="13">
        <v>70</v>
      </c>
      <c r="W46" s="31">
        <v>0.26012271620004235</v>
      </c>
      <c r="X46" s="31">
        <v>0.27819690001850417</v>
      </c>
      <c r="Y46" s="31">
        <v>0.3039894671830996</v>
      </c>
      <c r="Z46" s="31">
        <v>0.32996960944403708</v>
      </c>
      <c r="AA46" s="31">
        <v>0.35350638133561485</v>
      </c>
      <c r="AB46" s="31">
        <v>0.37643049933642458</v>
      </c>
      <c r="AC46" s="31">
        <v>0.40168077033409771</v>
      </c>
      <c r="AD46" s="15">
        <v>0.43024390979702276</v>
      </c>
      <c r="AF46" s="13">
        <v>70</v>
      </c>
      <c r="AG46" s="31">
        <v>0.29148532159690588</v>
      </c>
      <c r="AH46" s="31">
        <v>0.29958187902486499</v>
      </c>
      <c r="AI46" s="31">
        <v>0.31748683422062618</v>
      </c>
      <c r="AJ46" s="31">
        <v>0.33994638578029579</v>
      </c>
      <c r="AK46" s="31">
        <v>0.3638214823913889</v>
      </c>
      <c r="AL46" s="31">
        <v>0.38885089291782798</v>
      </c>
      <c r="AM46" s="31">
        <v>0.41572139437605221</v>
      </c>
      <c r="AN46" s="15">
        <v>0.44377139001906102</v>
      </c>
      <c r="AP46" s="13">
        <v>70</v>
      </c>
      <c r="AQ46" s="31">
        <v>0.29729176638171168</v>
      </c>
      <c r="AR46" s="31">
        <v>0.30642111242739156</v>
      </c>
      <c r="AS46" s="31">
        <v>0.32532458764289857</v>
      </c>
      <c r="AT46" s="31">
        <v>0.34809229398052216</v>
      </c>
      <c r="AU46" s="31">
        <v>0.37096322752905175</v>
      </c>
      <c r="AV46" s="31">
        <v>0.39337033879901301</v>
      </c>
      <c r="AW46" s="31">
        <v>0.41609370393210793</v>
      </c>
      <c r="AX46" s="15">
        <v>0.43895882653121387</v>
      </c>
      <c r="AZ46" s="13">
        <v>70</v>
      </c>
      <c r="BA46" s="31">
        <v>0.31015390218297778</v>
      </c>
      <c r="BB46" s="31">
        <v>0.31659745619037277</v>
      </c>
      <c r="BC46" s="31">
        <v>0.32980337048287728</v>
      </c>
      <c r="BD46" s="31">
        <v>0.34582191836248999</v>
      </c>
      <c r="BE46" s="31">
        <v>0.36260032994935804</v>
      </c>
      <c r="BF46" s="31">
        <v>0.3797206016124095</v>
      </c>
      <c r="BG46" s="31">
        <v>0.39724810178465014</v>
      </c>
      <c r="BH46" s="15">
        <v>0.41471731187348315</v>
      </c>
      <c r="BI46" s="31"/>
      <c r="BJ46" s="31"/>
    </row>
    <row r="47" spans="2:78" ht="15.75" thickBot="1" x14ac:dyDescent="0.3">
      <c r="B47" s="16">
        <v>80</v>
      </c>
      <c r="C47" s="17">
        <v>0.21985192926489588</v>
      </c>
      <c r="D47" s="17">
        <v>0.23018340079593147</v>
      </c>
      <c r="E47" s="17">
        <v>0.25015503376743098</v>
      </c>
      <c r="F47" s="17">
        <v>0.27395363548267931</v>
      </c>
      <c r="G47" s="17">
        <v>0.29893577263907045</v>
      </c>
      <c r="H47" s="17">
        <v>0.32551962339826307</v>
      </c>
      <c r="I47" s="17">
        <v>0.35495777377993359</v>
      </c>
      <c r="J47" s="18">
        <v>0.38718545614215549</v>
      </c>
      <c r="L47" s="16">
        <v>80</v>
      </c>
      <c r="M47" s="17">
        <v>0.22098379010199881</v>
      </c>
      <c r="N47" s="17">
        <v>0.23059698784563276</v>
      </c>
      <c r="O47" s="17">
        <v>0.25085872823648186</v>
      </c>
      <c r="P47" s="17">
        <v>0.27545174192328492</v>
      </c>
      <c r="Q47" s="17">
        <v>0.30107225959158768</v>
      </c>
      <c r="R47" s="17">
        <v>0.32779261963992823</v>
      </c>
      <c r="S47" s="17">
        <v>0.35685281294716459</v>
      </c>
      <c r="T47" s="18">
        <v>0.38834833297794269</v>
      </c>
      <c r="V47" s="16">
        <v>80</v>
      </c>
      <c r="W47" s="17">
        <v>0.22830368523622674</v>
      </c>
      <c r="X47" s="17">
        <v>0.23493816044094082</v>
      </c>
      <c r="Y47" s="17">
        <v>0.25326270870169176</v>
      </c>
      <c r="Z47" s="17">
        <v>0.27655377875871501</v>
      </c>
      <c r="AA47" s="17">
        <v>0.30102224446297826</v>
      </c>
      <c r="AB47" s="17">
        <v>0.32672551720916604</v>
      </c>
      <c r="AC47" s="17">
        <v>0.35517759256190623</v>
      </c>
      <c r="AD47" s="18">
        <v>0.38666351146361083</v>
      </c>
      <c r="AF47" s="16">
        <v>80</v>
      </c>
      <c r="AG47" s="17">
        <v>0.27120615922085684</v>
      </c>
      <c r="AH47" s="17">
        <v>0.27057019701148216</v>
      </c>
      <c r="AI47" s="17">
        <v>0.28106267695084469</v>
      </c>
      <c r="AJ47" s="17">
        <v>0.29853952742407436</v>
      </c>
      <c r="AK47" s="17">
        <v>0.31987295254351233</v>
      </c>
      <c r="AL47" s="17">
        <v>0.34422844477808362</v>
      </c>
      <c r="AM47" s="17">
        <v>0.3717229866781922</v>
      </c>
      <c r="AN47" s="18">
        <v>0.40142996552584903</v>
      </c>
      <c r="AP47" s="16">
        <v>80</v>
      </c>
      <c r="AQ47" s="17">
        <v>0.28485728524473175</v>
      </c>
      <c r="AR47" s="17">
        <v>0.28436522741658621</v>
      </c>
      <c r="AS47" s="17">
        <v>0.29395280286387365</v>
      </c>
      <c r="AT47" s="17">
        <v>0.30955677385045416</v>
      </c>
      <c r="AU47" s="17">
        <v>0.32819336245253644</v>
      </c>
      <c r="AV47" s="17">
        <v>0.34918989261941702</v>
      </c>
      <c r="AW47" s="17">
        <v>0.37282454711656665</v>
      </c>
      <c r="AX47" s="18">
        <v>0.3983834778594853</v>
      </c>
      <c r="AZ47" s="16">
        <v>80</v>
      </c>
      <c r="BA47" s="17">
        <v>0.29582934617105</v>
      </c>
      <c r="BB47" s="17">
        <v>0.29344260106622211</v>
      </c>
      <c r="BC47" s="17">
        <v>0.29842238193685527</v>
      </c>
      <c r="BD47" s="17">
        <v>0.30780205240621578</v>
      </c>
      <c r="BE47" s="17">
        <v>0.3199904697390214</v>
      </c>
      <c r="BF47" s="17">
        <v>0.33486276594353692</v>
      </c>
      <c r="BG47" s="17">
        <v>0.35266791563473116</v>
      </c>
      <c r="BH47" s="18">
        <v>0.37286757821097655</v>
      </c>
      <c r="BI47" s="31"/>
      <c r="BJ47" s="31"/>
    </row>
    <row r="49" spans="52:60" ht="15.75" thickBot="1" x14ac:dyDescent="0.3">
      <c r="AZ49" t="s">
        <v>34</v>
      </c>
    </row>
    <row r="50" spans="52:60" x14ac:dyDescent="0.25">
      <c r="AZ50" s="5" t="s">
        <v>9</v>
      </c>
      <c r="BA50" s="6" t="s">
        <v>10</v>
      </c>
      <c r="BB50" s="7"/>
      <c r="BC50" s="8"/>
      <c r="BD50" s="8"/>
      <c r="BE50" s="8"/>
      <c r="BF50" s="8"/>
      <c r="BG50" s="8"/>
      <c r="BH50" s="9"/>
    </row>
    <row r="51" spans="52:60" x14ac:dyDescent="0.25">
      <c r="AZ51" s="10" t="s">
        <v>11</v>
      </c>
      <c r="BA51" s="11">
        <v>30</v>
      </c>
      <c r="BB51" s="11">
        <v>40</v>
      </c>
      <c r="BC51" s="11">
        <v>50</v>
      </c>
      <c r="BD51" s="11">
        <v>60</v>
      </c>
      <c r="BE51" s="11">
        <v>70</v>
      </c>
      <c r="BF51" s="11">
        <v>80</v>
      </c>
      <c r="BG51" s="11">
        <v>90</v>
      </c>
      <c r="BH51" s="12">
        <v>100</v>
      </c>
    </row>
    <row r="52" spans="52:60" x14ac:dyDescent="0.25">
      <c r="AZ52" s="13">
        <v>30</v>
      </c>
      <c r="BA52" s="14">
        <f>AQ6-BA6</f>
        <v>5.9728684903626039E-4</v>
      </c>
      <c r="BB52" s="14">
        <f t="shared" ref="BB52:BH52" si="0">AR6-BB6</f>
        <v>-3.1179174931894593E-3</v>
      </c>
      <c r="BC52" s="14">
        <f t="shared" si="0"/>
        <v>-3.9349082419921633E-3</v>
      </c>
      <c r="BD52" s="14">
        <f t="shared" si="0"/>
        <v>-1.308746966883545E-3</v>
      </c>
      <c r="BE52" s="14">
        <f t="shared" si="0"/>
        <v>3.5304113310554719E-3</v>
      </c>
      <c r="BF52" s="14">
        <f t="shared" si="0"/>
        <v>8.3296801582748436E-3</v>
      </c>
      <c r="BG52" s="14">
        <f t="shared" si="0"/>
        <v>1.1199963814372271E-2</v>
      </c>
      <c r="BH52" s="15">
        <f t="shared" si="0"/>
        <v>1.1620454696875449E-2</v>
      </c>
    </row>
    <row r="53" spans="52:60" x14ac:dyDescent="0.25">
      <c r="AZ53" s="13">
        <v>40</v>
      </c>
      <c r="BA53" s="14">
        <f t="shared" ref="BA53:BA57" si="1">AQ7-BA7</f>
        <v>-3.8990110500287667E-3</v>
      </c>
      <c r="BB53" s="14">
        <f t="shared" ref="BB53:BB57" si="2">AR7-BB7</f>
        <v>-9.5730353775329569E-3</v>
      </c>
      <c r="BC53" s="14">
        <f t="shared" ref="BC53:BC57" si="3">AS7-BC7</f>
        <v>-1.1507041479538183E-2</v>
      </c>
      <c r="BD53" s="14">
        <f t="shared" ref="BD53:BD57" si="4">AT7-BD7</f>
        <v>-8.9151000225144994E-3</v>
      </c>
      <c r="BE53" s="14">
        <f t="shared" ref="BE53:BE57" si="5">AU7-BE7</f>
        <v>-3.2563865622030619E-3</v>
      </c>
      <c r="BF53" s="14">
        <f t="shared" ref="BF53:BF57" si="6">AV7-BF7</f>
        <v>2.6855477436400488E-3</v>
      </c>
      <c r="BG53" s="14">
        <f t="shared" ref="BG53:BG57" si="7">AW7-BG7</f>
        <v>6.534913267222775E-3</v>
      </c>
      <c r="BH53" s="15">
        <f t="shared" ref="BH53:BH57" si="8">AX7-BH7</f>
        <v>7.5956806048220749E-3</v>
      </c>
    </row>
    <row r="54" spans="52:60" x14ac:dyDescent="0.25">
      <c r="AZ54" s="13">
        <v>50</v>
      </c>
      <c r="BA54" s="14">
        <f t="shared" si="1"/>
        <v>8.3090483374892443E-4</v>
      </c>
      <c r="BB54" s="14">
        <f t="shared" si="2"/>
        <v>-6.5244894097746808E-3</v>
      </c>
      <c r="BC54" s="14">
        <f t="shared" si="3"/>
        <v>-1.0419887821238039E-2</v>
      </c>
      <c r="BD54" s="14">
        <f t="shared" si="4"/>
        <v>-9.779789172298381E-3</v>
      </c>
      <c r="BE54" s="14">
        <f t="shared" si="5"/>
        <v>-5.9139252421926969E-3</v>
      </c>
      <c r="BF54" s="14">
        <f t="shared" si="6"/>
        <v>-1.5731403967271795E-3</v>
      </c>
      <c r="BG54" s="14">
        <f t="shared" si="7"/>
        <v>9.0004914190000562E-4</v>
      </c>
      <c r="BH54" s="15">
        <f t="shared" si="8"/>
        <v>9.3560846749296545E-4</v>
      </c>
    </row>
    <row r="55" spans="52:60" x14ac:dyDescent="0.25">
      <c r="AZ55" s="13">
        <v>60</v>
      </c>
      <c r="BA55" s="14">
        <f t="shared" si="1"/>
        <v>8.8754887153230655E-3</v>
      </c>
      <c r="BB55" s="14">
        <f t="shared" si="2"/>
        <v>3.5278183571696431E-4</v>
      </c>
      <c r="BC55" s="14">
        <f t="shared" si="3"/>
        <v>-5.6255054526013204E-3</v>
      </c>
      <c r="BD55" s="14">
        <f t="shared" si="4"/>
        <v>-7.7438340320905574E-3</v>
      </c>
      <c r="BE55" s="14">
        <f t="shared" si="5"/>
        <v>-6.92372719426948E-3</v>
      </c>
      <c r="BF55" s="14">
        <f t="shared" si="6"/>
        <v>-5.4767248338498664E-3</v>
      </c>
      <c r="BG55" s="14">
        <f t="shared" si="7"/>
        <v>-5.3580909181452085E-3</v>
      </c>
      <c r="BH55" s="15">
        <f t="shared" si="8"/>
        <v>-6.8763309526431726E-3</v>
      </c>
    </row>
    <row r="56" spans="52:60" x14ac:dyDescent="0.25">
      <c r="AZ56" s="13">
        <v>70</v>
      </c>
      <c r="BA56" s="14">
        <f t="shared" si="1"/>
        <v>1.0307753449597223E-2</v>
      </c>
      <c r="BB56" s="14">
        <f t="shared" si="2"/>
        <v>1.3585799153006395E-3</v>
      </c>
      <c r="BC56" s="14">
        <f t="shared" si="3"/>
        <v>-5.6592885325035258E-3</v>
      </c>
      <c r="BD56" s="14">
        <f t="shared" si="4"/>
        <v>-9.3828085716762821E-3</v>
      </c>
      <c r="BE56" s="14">
        <f t="shared" si="5"/>
        <v>-1.0418394632346173E-2</v>
      </c>
      <c r="BF56" s="14">
        <f t="shared" si="6"/>
        <v>-1.0624217400094782E-2</v>
      </c>
      <c r="BG56" s="14">
        <f t="shared" si="7"/>
        <v>-1.1583872171217591E-2</v>
      </c>
      <c r="BH56" s="15">
        <f t="shared" si="8"/>
        <v>-1.3475083694797219E-2</v>
      </c>
    </row>
    <row r="57" spans="52:60" ht="15.75" thickBot="1" x14ac:dyDescent="0.3">
      <c r="AZ57" s="16">
        <v>80</v>
      </c>
      <c r="BA57" s="17">
        <f t="shared" si="1"/>
        <v>2.3069744964139272E-3</v>
      </c>
      <c r="BB57" s="17">
        <f t="shared" si="2"/>
        <v>-6.0290434963155004E-3</v>
      </c>
      <c r="BC57" s="17">
        <f t="shared" si="3"/>
        <v>-1.2356028520962958E-2</v>
      </c>
      <c r="BD57" s="17">
        <f t="shared" si="4"/>
        <v>-1.5531029445022604E-2</v>
      </c>
      <c r="BE57" s="17">
        <f t="shared" si="5"/>
        <v>-1.6102273583201931E-2</v>
      </c>
      <c r="BF57" s="17">
        <f t="shared" si="6"/>
        <v>-1.5689210089636418E-2</v>
      </c>
      <c r="BG57" s="17">
        <f t="shared" si="7"/>
        <v>-1.5702841094989095E-2</v>
      </c>
      <c r="BH57" s="18">
        <f t="shared" si="8"/>
        <v>-1.6396776877235952E-2</v>
      </c>
    </row>
    <row r="58" spans="52:60" ht="15.75" thickBot="1" x14ac:dyDescent="0.3"/>
    <row r="59" spans="52:60" x14ac:dyDescent="0.25">
      <c r="AZ59" s="5" t="s">
        <v>12</v>
      </c>
      <c r="BA59" s="6" t="s">
        <v>10</v>
      </c>
      <c r="BB59" s="7"/>
      <c r="BC59" s="8"/>
      <c r="BD59" s="8"/>
      <c r="BE59" s="8"/>
      <c r="BF59" s="8"/>
      <c r="BG59" s="8"/>
      <c r="BH59" s="9"/>
    </row>
    <row r="60" spans="52:60" x14ac:dyDescent="0.25">
      <c r="AZ60" s="10" t="s">
        <v>11</v>
      </c>
      <c r="BA60" s="11">
        <v>30</v>
      </c>
      <c r="BB60" s="11">
        <v>40</v>
      </c>
      <c r="BC60" s="11">
        <v>50</v>
      </c>
      <c r="BD60" s="11">
        <v>60</v>
      </c>
      <c r="BE60" s="11">
        <v>70</v>
      </c>
      <c r="BF60" s="11">
        <v>80</v>
      </c>
      <c r="BG60" s="11">
        <v>90</v>
      </c>
      <c r="BH60" s="12">
        <v>100</v>
      </c>
    </row>
    <row r="61" spans="52:60" x14ac:dyDescent="0.25">
      <c r="AZ61" s="13">
        <v>30</v>
      </c>
      <c r="BA61" s="14">
        <f>AQ15-BA15</f>
        <v>0.13395448297907087</v>
      </c>
      <c r="BB61" s="14">
        <f t="shared" ref="BB61:BH61" si="9">AR15-BB15</f>
        <v>0.12565703042231302</v>
      </c>
      <c r="BC61" s="14">
        <f t="shared" si="9"/>
        <v>9.2304166335168247E-2</v>
      </c>
      <c r="BD61" s="14">
        <f t="shared" si="9"/>
        <v>3.7990744459712733E-2</v>
      </c>
      <c r="BE61" s="14">
        <f t="shared" si="9"/>
        <v>-2.2368570598333637E-2</v>
      </c>
      <c r="BF61" s="14">
        <f t="shared" si="9"/>
        <v>-6.7471275221721694E-2</v>
      </c>
      <c r="BG61" s="14">
        <f t="shared" si="9"/>
        <v>-7.932400355995739E-2</v>
      </c>
      <c r="BH61" s="15">
        <f t="shared" si="9"/>
        <v>-5.2814138793033649E-2</v>
      </c>
    </row>
    <row r="62" spans="52:60" x14ac:dyDescent="0.25">
      <c r="AZ62" s="13">
        <v>40</v>
      </c>
      <c r="BA62" s="14">
        <f t="shared" ref="BA62:BA66" si="10">AQ16-BA16</f>
        <v>0.11067545005125989</v>
      </c>
      <c r="BB62" s="14">
        <f t="shared" ref="BB62:BB66" si="11">AR16-BB16</f>
        <v>9.4328479422247202E-2</v>
      </c>
      <c r="BC62" s="14">
        <f t="shared" ref="BC62:BC66" si="12">AS16-BC16</f>
        <v>6.565457315089418E-2</v>
      </c>
      <c r="BD62" s="14">
        <f t="shared" ref="BD62:BD66" si="13">AT16-BD16</f>
        <v>2.7764953849665819E-2</v>
      </c>
      <c r="BE62" s="14">
        <f t="shared" ref="BE62:BE66" si="14">AU16-BE16</f>
        <v>-1.0066363734886341E-2</v>
      </c>
      <c r="BF62" s="14">
        <f t="shared" ref="BF62:BF66" si="15">AV16-BF16</f>
        <v>-3.3991694847651299E-2</v>
      </c>
      <c r="BG62" s="14">
        <f t="shared" ref="BG62:BG66" si="16">AW16-BG16</f>
        <v>-3.1854996893481147E-2</v>
      </c>
      <c r="BH62" s="15">
        <f t="shared" ref="BH62:BH66" si="17">AX16-BH16</f>
        <v>-7.4829407429843897E-4</v>
      </c>
    </row>
    <row r="63" spans="52:60" x14ac:dyDescent="0.25">
      <c r="AZ63" s="13">
        <v>50</v>
      </c>
      <c r="BA63" s="14">
        <f t="shared" si="10"/>
        <v>8.321515197636753E-2</v>
      </c>
      <c r="BB63" s="14">
        <f t="shared" si="11"/>
        <v>6.0806251353763052E-2</v>
      </c>
      <c r="BC63" s="14">
        <f t="shared" si="12"/>
        <v>4.1161280889192353E-2</v>
      </c>
      <c r="BD63" s="14">
        <f t="shared" si="13"/>
        <v>2.5622863303685461E-2</v>
      </c>
      <c r="BE63" s="14">
        <f t="shared" si="14"/>
        <v>1.5697376116838413E-2</v>
      </c>
      <c r="BF63" s="14">
        <f t="shared" si="15"/>
        <v>1.5005733112950725E-2</v>
      </c>
      <c r="BG63" s="14">
        <f t="shared" si="16"/>
        <v>2.7840036247449795E-2</v>
      </c>
      <c r="BH63" s="15">
        <f t="shared" si="17"/>
        <v>5.4906031914797815E-2</v>
      </c>
    </row>
    <row r="64" spans="52:60" x14ac:dyDescent="0.25">
      <c r="AZ64" s="13">
        <v>60</v>
      </c>
      <c r="BA64" s="14">
        <f t="shared" si="10"/>
        <v>5.4460388624518075E-2</v>
      </c>
      <c r="BB64" s="14">
        <f t="shared" si="11"/>
        <v>2.8525339589338117E-2</v>
      </c>
      <c r="BC64" s="14">
        <f t="shared" si="12"/>
        <v>1.6496377323283795E-2</v>
      </c>
      <c r="BD64" s="14">
        <f t="shared" si="13"/>
        <v>1.8594621947658263E-2</v>
      </c>
      <c r="BE64" s="14">
        <f t="shared" si="14"/>
        <v>3.0561536721025018E-2</v>
      </c>
      <c r="BF64" s="14">
        <f t="shared" si="15"/>
        <v>4.7934262553327001E-2</v>
      </c>
      <c r="BG64" s="14">
        <f t="shared" si="16"/>
        <v>6.8357603934540156E-2</v>
      </c>
      <c r="BH64" s="15">
        <f t="shared" si="17"/>
        <v>9.0383259854255549E-2</v>
      </c>
    </row>
    <row r="65" spans="52:60" x14ac:dyDescent="0.25">
      <c r="AZ65" s="13">
        <v>70</v>
      </c>
      <c r="BA65" s="14">
        <f t="shared" si="10"/>
        <v>2.8972473865146009E-2</v>
      </c>
      <c r="BB65" s="14">
        <f t="shared" si="11"/>
        <v>3.175100414817944E-3</v>
      </c>
      <c r="BC65" s="14">
        <f t="shared" si="12"/>
        <v>-4.7220243626202585E-3</v>
      </c>
      <c r="BD65" s="14">
        <f t="shared" si="13"/>
        <v>5.878319213314942E-3</v>
      </c>
      <c r="BE65" s="14">
        <f t="shared" si="14"/>
        <v>2.9377277296464888E-2</v>
      </c>
      <c r="BF65" s="14">
        <f t="shared" si="15"/>
        <v>5.824886093171E-2</v>
      </c>
      <c r="BG65" s="14">
        <f t="shared" si="16"/>
        <v>8.6486955943941846E-2</v>
      </c>
      <c r="BH65" s="15">
        <f t="shared" si="17"/>
        <v>0.11017480543924618</v>
      </c>
    </row>
    <row r="66" spans="52:60" ht="15.75" thickBot="1" x14ac:dyDescent="0.3">
      <c r="AZ66" s="16">
        <v>80</v>
      </c>
      <c r="BA66" s="17">
        <f t="shared" si="10"/>
        <v>9.0254431068557128E-3</v>
      </c>
      <c r="BB66" s="17">
        <f t="shared" si="11"/>
        <v>-1.283716914798938E-2</v>
      </c>
      <c r="BC66" s="17">
        <f t="shared" si="12"/>
        <v>-1.8477688573474982E-2</v>
      </c>
      <c r="BD66" s="17">
        <f t="shared" si="13"/>
        <v>-5.8124149729574803E-3</v>
      </c>
      <c r="BE66" s="17">
        <f t="shared" si="14"/>
        <v>2.1793322242372959E-2</v>
      </c>
      <c r="BF66" s="17">
        <f t="shared" si="15"/>
        <v>5.7947894582069948E-2</v>
      </c>
      <c r="BG66" s="17">
        <f t="shared" si="16"/>
        <v>9.5586098592623125E-2</v>
      </c>
      <c r="BH66" s="18">
        <f t="shared" si="17"/>
        <v>0.12805943312832446</v>
      </c>
    </row>
    <row r="67" spans="52:60" ht="15.75" thickBot="1" x14ac:dyDescent="0.3"/>
    <row r="68" spans="52:60" x14ac:dyDescent="0.25">
      <c r="AZ68" s="5" t="s">
        <v>13</v>
      </c>
      <c r="BA68" s="6" t="s">
        <v>10</v>
      </c>
      <c r="BB68" s="7"/>
      <c r="BC68" s="8"/>
      <c r="BD68" s="8"/>
      <c r="BE68" s="8"/>
      <c r="BF68" s="8"/>
      <c r="BG68" s="8"/>
      <c r="BH68" s="9"/>
    </row>
    <row r="69" spans="52:60" x14ac:dyDescent="0.25">
      <c r="AZ69" s="10" t="s">
        <v>11</v>
      </c>
      <c r="BA69" s="11">
        <v>30</v>
      </c>
      <c r="BB69" s="11">
        <v>40</v>
      </c>
      <c r="BC69" s="11">
        <v>50</v>
      </c>
      <c r="BD69" s="11">
        <v>60</v>
      </c>
      <c r="BE69" s="11">
        <v>70</v>
      </c>
      <c r="BF69" s="11">
        <v>80</v>
      </c>
      <c r="BG69" s="11">
        <v>90</v>
      </c>
      <c r="BH69" s="12">
        <v>100</v>
      </c>
    </row>
    <row r="70" spans="52:60" x14ac:dyDescent="0.25">
      <c r="AZ70" s="13">
        <v>30</v>
      </c>
      <c r="BA70" s="14">
        <f>AQ24-BA24</f>
        <v>-3.3252140969644017E-3</v>
      </c>
      <c r="BB70" s="14">
        <f t="shared" ref="BB70:BH70" si="18">AR24-BB24</f>
        <v>-3.8949043222410662E-2</v>
      </c>
      <c r="BC70" s="14">
        <f t="shared" si="18"/>
        <v>-4.8314817648281938E-2</v>
      </c>
      <c r="BD70" s="14">
        <f t="shared" si="18"/>
        <v>-2.9518899767386753E-2</v>
      </c>
      <c r="BE70" s="14">
        <f t="shared" si="18"/>
        <v>5.7085746833278606E-3</v>
      </c>
      <c r="BF70" s="14">
        <f t="shared" si="18"/>
        <v>3.9088089282483418E-2</v>
      </c>
      <c r="BG70" s="14">
        <f t="shared" si="18"/>
        <v>5.6441897133642449E-2</v>
      </c>
      <c r="BH70" s="15">
        <f t="shared" si="18"/>
        <v>5.4594161282146114E-2</v>
      </c>
    </row>
    <row r="71" spans="52:60" x14ac:dyDescent="0.25">
      <c r="AZ71" s="13">
        <v>40</v>
      </c>
      <c r="BA71" s="14">
        <f t="shared" ref="BA71:BA75" si="19">AQ25-BA25</f>
        <v>5.8153151683732585E-2</v>
      </c>
      <c r="BB71" s="14">
        <f t="shared" ref="BB71:BB75" si="20">AR25-BB25</f>
        <v>5.3880084373179038E-3</v>
      </c>
      <c r="BC71" s="14">
        <f t="shared" ref="BC71:BC75" si="21">AS25-BC25</f>
        <v>-2.0300939215907476E-2</v>
      </c>
      <c r="BD71" s="14">
        <f t="shared" ref="BD71:BD75" si="22">AT25-BD25</f>
        <v>-1.4619646589343116E-2</v>
      </c>
      <c r="BE71" s="14">
        <f t="shared" ref="BE71:BE75" si="23">AU25-BE25</f>
        <v>1.0130050780699396E-2</v>
      </c>
      <c r="BF71" s="14">
        <f t="shared" ref="BF71:BF75" si="24">AV25-BF25</f>
        <v>3.3428546634755918E-2</v>
      </c>
      <c r="BG71" s="14">
        <f t="shared" ref="BG71:BG75" si="25">AW25-BG25</f>
        <v>3.9586610013620849E-2</v>
      </c>
      <c r="BH71" s="15">
        <f t="shared" ref="BH71:BH75" si="26">AX25-BH25</f>
        <v>2.6216694636751026E-2</v>
      </c>
    </row>
    <row r="72" spans="52:60" x14ac:dyDescent="0.25">
      <c r="AZ72" s="13">
        <v>50</v>
      </c>
      <c r="BA72" s="14">
        <f t="shared" si="19"/>
        <v>0.14224767452934683</v>
      </c>
      <c r="BB72" s="14">
        <f t="shared" si="20"/>
        <v>7.2557140963433131E-2</v>
      </c>
      <c r="BC72" s="14">
        <f t="shared" si="21"/>
        <v>2.576257156720585E-2</v>
      </c>
      <c r="BD72" s="14">
        <f t="shared" si="22"/>
        <v>9.8721864160316031E-3</v>
      </c>
      <c r="BE72" s="14">
        <f t="shared" si="23"/>
        <v>1.4924176029428082E-2</v>
      </c>
      <c r="BF72" s="14">
        <f t="shared" si="24"/>
        <v>2.118003388014511E-2</v>
      </c>
      <c r="BG72" s="14">
        <f t="shared" si="25"/>
        <v>1.3050934508285206E-2</v>
      </c>
      <c r="BH72" s="15">
        <f t="shared" si="26"/>
        <v>-1.1434281469327345E-2</v>
      </c>
    </row>
    <row r="73" spans="52:60" x14ac:dyDescent="0.25">
      <c r="AZ73" s="13">
        <v>60</v>
      </c>
      <c r="BA73" s="14">
        <f t="shared" si="19"/>
        <v>0.1942975583167954</v>
      </c>
      <c r="BB73" s="14">
        <f t="shared" si="20"/>
        <v>0.11247449692702238</v>
      </c>
      <c r="BC73" s="14">
        <f t="shared" si="21"/>
        <v>4.8193095695462596E-2</v>
      </c>
      <c r="BD73" s="14">
        <f t="shared" si="22"/>
        <v>1.3263788849612546E-2</v>
      </c>
      <c r="BE73" s="14">
        <f t="shared" si="23"/>
        <v>1.6799795049222688E-3</v>
      </c>
      <c r="BF73" s="14">
        <f>AV27-BF27</f>
        <v>-3.6927769337649075E-3</v>
      </c>
      <c r="BG73" s="14">
        <f t="shared" si="25"/>
        <v>-1.7889220294085018E-2</v>
      </c>
      <c r="BH73" s="15">
        <f t="shared" si="26"/>
        <v>-4.398599175568485E-2</v>
      </c>
    </row>
    <row r="74" spans="52:60" x14ac:dyDescent="0.25">
      <c r="AZ74" s="13">
        <v>70</v>
      </c>
      <c r="BA74" s="14">
        <f t="shared" si="19"/>
        <v>0.18082818393617761</v>
      </c>
      <c r="BB74" s="14">
        <f t="shared" si="20"/>
        <v>9.8112796868062402E-2</v>
      </c>
      <c r="BC74" s="14">
        <f t="shared" si="21"/>
        <v>3.0248979324589254E-2</v>
      </c>
      <c r="BD74" s="14">
        <f t="shared" si="22"/>
        <v>-9.0425547376726811E-3</v>
      </c>
      <c r="BE74" s="14">
        <f t="shared" si="23"/>
        <v>-2.2562436612603598E-2</v>
      </c>
      <c r="BF74" s="14">
        <f t="shared" si="24"/>
        <v>-2.4937490454286504E-2</v>
      </c>
      <c r="BG74" s="14">
        <f t="shared" si="25"/>
        <v>-3.1141748348007647E-2</v>
      </c>
      <c r="BH74" s="15">
        <f t="shared" si="26"/>
        <v>-4.6836051308423388E-2</v>
      </c>
    </row>
    <row r="75" spans="52:60" ht="15.75" thickBot="1" x14ac:dyDescent="0.3">
      <c r="AZ75" s="16">
        <v>80</v>
      </c>
      <c r="BA75" s="17">
        <f t="shared" si="19"/>
        <v>0.11961531275389325</v>
      </c>
      <c r="BB75" s="17">
        <f t="shared" si="20"/>
        <v>5.0713864180507384E-2</v>
      </c>
      <c r="BC75" s="17">
        <f t="shared" si="21"/>
        <v>-3.0313983616157003E-3</v>
      </c>
      <c r="BD75" s="17">
        <f t="shared" si="22"/>
        <v>-2.9096454948704498E-2</v>
      </c>
      <c r="BE75" s="17">
        <f t="shared" si="23"/>
        <v>-2.9297832892904108E-2</v>
      </c>
      <c r="BF75" s="17">
        <f t="shared" si="24"/>
        <v>-1.6741370845108516E-2</v>
      </c>
      <c r="BG75" s="17">
        <f t="shared" si="25"/>
        <v>-6.5116011767565318E-3</v>
      </c>
      <c r="BH75" s="18">
        <f t="shared" si="26"/>
        <v>-6.8496445193035882E-3</v>
      </c>
    </row>
    <row r="76" spans="52:60" ht="15.75" thickBot="1" x14ac:dyDescent="0.3"/>
    <row r="77" spans="52:60" x14ac:dyDescent="0.25">
      <c r="AZ77" s="5" t="s">
        <v>29</v>
      </c>
      <c r="BA77" s="6" t="s">
        <v>10</v>
      </c>
      <c r="BB77" s="7"/>
      <c r="BC77" s="8"/>
      <c r="BD77" s="8"/>
      <c r="BE77" s="8"/>
      <c r="BF77" s="8"/>
      <c r="BG77" s="8"/>
      <c r="BH77" s="9"/>
    </row>
    <row r="78" spans="52:60" x14ac:dyDescent="0.25">
      <c r="AZ78" s="10" t="s">
        <v>11</v>
      </c>
      <c r="BA78" s="11">
        <v>30</v>
      </c>
      <c r="BB78" s="11">
        <v>40</v>
      </c>
      <c r="BC78" s="11">
        <v>50</v>
      </c>
      <c r="BD78" s="11">
        <v>60</v>
      </c>
      <c r="BE78" s="11">
        <v>70</v>
      </c>
      <c r="BF78" s="11">
        <v>80</v>
      </c>
      <c r="BG78" s="11">
        <v>90</v>
      </c>
      <c r="BH78" s="12">
        <v>100</v>
      </c>
    </row>
    <row r="79" spans="52:60" x14ac:dyDescent="0.25">
      <c r="AZ79" s="13">
        <v>30</v>
      </c>
      <c r="BA79" s="31">
        <f>AQ33-BA33</f>
        <v>0.13062926888210669</v>
      </c>
      <c r="BB79" s="31">
        <f t="shared" ref="BB79:BH79" si="27">AR33-BB33</f>
        <v>8.6707987199902803E-2</v>
      </c>
      <c r="BC79" s="31">
        <f t="shared" si="27"/>
        <v>4.3989348686885421E-2</v>
      </c>
      <c r="BD79" s="31">
        <f t="shared" si="27"/>
        <v>8.4718446923268687E-3</v>
      </c>
      <c r="BE79" s="31">
        <f t="shared" si="27"/>
        <v>-1.665999591500622E-2</v>
      </c>
      <c r="BF79" s="31">
        <f t="shared" si="27"/>
        <v>-2.8383185939238054E-2</v>
      </c>
      <c r="BG79" s="31">
        <f t="shared" si="27"/>
        <v>-2.2882106426314053E-2</v>
      </c>
      <c r="BH79" s="15">
        <f t="shared" si="27"/>
        <v>1.7800224891120209E-3</v>
      </c>
    </row>
    <row r="80" spans="52:60" x14ac:dyDescent="0.25">
      <c r="AZ80" s="13">
        <v>40</v>
      </c>
      <c r="BA80" s="31">
        <f t="shared" ref="BA80:BA84" si="28">AQ34-BA34</f>
        <v>0.16882860173499248</v>
      </c>
      <c r="BB80" s="31">
        <f t="shared" ref="BB80:BB84" si="29">AR34-BB34</f>
        <v>9.9716487859565106E-2</v>
      </c>
      <c r="BC80" s="31">
        <f t="shared" ref="BC80:BC84" si="30">AS34-BC34</f>
        <v>4.5353633934986703E-2</v>
      </c>
      <c r="BD80" s="31">
        <f t="shared" ref="BD80:BD84" si="31">AT34-BD34</f>
        <v>1.3145307260321815E-2</v>
      </c>
      <c r="BE80" s="31">
        <f t="shared" ref="BE80:BE84" si="32">AU34-BE34</f>
        <v>6.368704581305451E-5</v>
      </c>
      <c r="BF80" s="31">
        <f t="shared" ref="BF80:BF84" si="33">AV34-BF34</f>
        <v>-5.631482128958254E-4</v>
      </c>
      <c r="BG80" s="31">
        <f t="shared" ref="BG80:BG84" si="34">AW34-BG34</f>
        <v>7.7316131201392579E-3</v>
      </c>
      <c r="BH80" s="15">
        <f t="shared" ref="BH80:BH84" si="35">AX34-BH34</f>
        <v>2.5468400562452587E-2</v>
      </c>
    </row>
    <row r="81" spans="52:60" x14ac:dyDescent="0.25">
      <c r="AZ81" s="13">
        <v>50</v>
      </c>
      <c r="BA81" s="31">
        <f t="shared" si="28"/>
        <v>0.22546282650571436</v>
      </c>
      <c r="BB81" s="31">
        <f t="shared" si="29"/>
        <v>0.13336339231719618</v>
      </c>
      <c r="BC81" s="31">
        <f t="shared" si="30"/>
        <v>6.6923852456397981E-2</v>
      </c>
      <c r="BD81" s="31">
        <f t="shared" si="31"/>
        <v>3.5495049719716842E-2</v>
      </c>
      <c r="BE81" s="31">
        <f t="shared" si="32"/>
        <v>3.0621552146266495E-2</v>
      </c>
      <c r="BF81" s="31">
        <f t="shared" si="33"/>
        <v>3.6185766993095836E-2</v>
      </c>
      <c r="BG81" s="31">
        <f t="shared" si="34"/>
        <v>4.0890970755735001E-2</v>
      </c>
      <c r="BH81" s="15">
        <f t="shared" si="35"/>
        <v>4.347175044547047E-2</v>
      </c>
    </row>
    <row r="82" spans="52:60" x14ac:dyDescent="0.25">
      <c r="AZ82" s="13">
        <v>60</v>
      </c>
      <c r="BA82" s="31">
        <f t="shared" si="28"/>
        <v>0.2487579469413137</v>
      </c>
      <c r="BB82" s="31">
        <f t="shared" si="29"/>
        <v>0.14099983651636006</v>
      </c>
      <c r="BC82" s="31">
        <f t="shared" si="30"/>
        <v>6.4689473018746391E-2</v>
      </c>
      <c r="BD82" s="31">
        <f t="shared" si="31"/>
        <v>3.1858410797271031E-2</v>
      </c>
      <c r="BE82" s="31">
        <f t="shared" si="32"/>
        <v>3.2241516225947287E-2</v>
      </c>
      <c r="BF82" s="31">
        <f t="shared" si="33"/>
        <v>4.4241485619562315E-2</v>
      </c>
      <c r="BG82" s="31">
        <f t="shared" si="34"/>
        <v>5.0468383640455361E-2</v>
      </c>
      <c r="BH82" s="15">
        <f t="shared" si="35"/>
        <v>4.6397268098570699E-2</v>
      </c>
    </row>
    <row r="83" spans="52:60" x14ac:dyDescent="0.25">
      <c r="AZ83" s="13">
        <v>70</v>
      </c>
      <c r="BA83" s="31">
        <f t="shared" si="28"/>
        <v>0.20980065780132318</v>
      </c>
      <c r="BB83" s="31">
        <f t="shared" si="29"/>
        <v>0.10128789728288012</v>
      </c>
      <c r="BC83" s="31">
        <f t="shared" si="30"/>
        <v>2.5526954961969217E-2</v>
      </c>
      <c r="BD83" s="31">
        <f t="shared" si="31"/>
        <v>-3.1642355243581832E-3</v>
      </c>
      <c r="BE83" s="31">
        <f t="shared" si="32"/>
        <v>6.8148406838610676E-3</v>
      </c>
      <c r="BF83" s="31">
        <f t="shared" si="33"/>
        <v>3.3311370477423274E-2</v>
      </c>
      <c r="BG83" s="31">
        <f t="shared" si="34"/>
        <v>5.5345207595934198E-2</v>
      </c>
      <c r="BH83" s="15">
        <f t="shared" si="35"/>
        <v>6.3338754130823016E-2</v>
      </c>
    </row>
    <row r="84" spans="52:60" ht="15.75" thickBot="1" x14ac:dyDescent="0.3">
      <c r="AZ84" s="16">
        <v>80</v>
      </c>
      <c r="BA84" s="17">
        <f t="shared" si="28"/>
        <v>0.12864075586074897</v>
      </c>
      <c r="BB84" s="17">
        <f t="shared" si="29"/>
        <v>3.7876695032518448E-2</v>
      </c>
      <c r="BC84" s="17">
        <f t="shared" si="30"/>
        <v>-2.1509086935090682E-2</v>
      </c>
      <c r="BD84" s="17">
        <f t="shared" si="31"/>
        <v>-3.4908869921661978E-2</v>
      </c>
      <c r="BE84" s="17">
        <f t="shared" si="32"/>
        <v>-7.5045106505307047E-3</v>
      </c>
      <c r="BF84" s="17">
        <f t="shared" si="33"/>
        <v>4.1206523736961209E-2</v>
      </c>
      <c r="BG84" s="17">
        <f t="shared" si="34"/>
        <v>8.9074497415866372E-2</v>
      </c>
      <c r="BH84" s="18">
        <f t="shared" si="35"/>
        <v>0.1212097886090211</v>
      </c>
    </row>
    <row r="85" spans="52:60" ht="15.75" thickBot="1" x14ac:dyDescent="0.3"/>
    <row r="86" spans="52:60" x14ac:dyDescent="0.25">
      <c r="AZ86" s="5" t="s">
        <v>30</v>
      </c>
      <c r="BA86" s="6" t="s">
        <v>10</v>
      </c>
      <c r="BB86" s="7"/>
      <c r="BC86" s="8"/>
      <c r="BD86" s="8"/>
      <c r="BE86" s="8"/>
      <c r="BF86" s="8"/>
      <c r="BG86" s="8"/>
      <c r="BH86" s="9"/>
    </row>
    <row r="87" spans="52:60" x14ac:dyDescent="0.25">
      <c r="AZ87" s="10" t="s">
        <v>11</v>
      </c>
      <c r="BA87" s="11">
        <v>30</v>
      </c>
      <c r="BB87" s="11">
        <v>40</v>
      </c>
      <c r="BC87" s="11">
        <v>50</v>
      </c>
      <c r="BD87" s="11">
        <v>60</v>
      </c>
      <c r="BE87" s="11">
        <v>70</v>
      </c>
      <c r="BF87" s="11">
        <v>80</v>
      </c>
      <c r="BG87" s="11">
        <v>90</v>
      </c>
      <c r="BH87" s="12">
        <v>100</v>
      </c>
    </row>
    <row r="88" spans="52:60" x14ac:dyDescent="0.25">
      <c r="AZ88" s="13">
        <v>30</v>
      </c>
      <c r="BA88" s="31">
        <f>AQ42-BA42</f>
        <v>1.8451663913194805E-2</v>
      </c>
      <c r="BB88" s="31">
        <f t="shared" ref="BB88:BH88" si="36">AR42-BB42</f>
        <v>2.0257901757009256E-2</v>
      </c>
      <c r="BC88" s="31">
        <f t="shared" si="36"/>
        <v>1.641585419764785E-2</v>
      </c>
      <c r="BD88" s="31">
        <f t="shared" si="36"/>
        <v>7.6826186945183061E-3</v>
      </c>
      <c r="BE88" s="31">
        <f t="shared" si="36"/>
        <v>-3.1138373033187117E-3</v>
      </c>
      <c r="BF88" s="31">
        <f t="shared" si="36"/>
        <v>-1.2024608889648625E-2</v>
      </c>
      <c r="BG88" s="31">
        <f t="shared" si="36"/>
        <v>-1.5677334121901643E-2</v>
      </c>
      <c r="BH88" s="15">
        <f t="shared" si="36"/>
        <v>-1.2961431049879901E-2</v>
      </c>
    </row>
    <row r="89" spans="52:60" x14ac:dyDescent="0.25">
      <c r="AZ89" s="13">
        <v>40</v>
      </c>
      <c r="BA89" s="31">
        <f t="shared" ref="BA89:BA93" si="37">AQ43-BA43</f>
        <v>1.032076783988306E-2</v>
      </c>
      <c r="BB89" s="31">
        <f t="shared" ref="BB89:BB93" si="38">AR43-BB43</f>
        <v>1.2944477475239191E-2</v>
      </c>
      <c r="BC89" s="31">
        <f t="shared" ref="BC89:BC93" si="39">AS43-BC43</f>
        <v>1.1129974420522604E-2</v>
      </c>
      <c r="BD89" s="31">
        <f t="shared" ref="BD89:BD93" si="40">AT43-BD43</f>
        <v>5.2121438073615134E-3</v>
      </c>
      <c r="BE89" s="31">
        <f t="shared" ref="BE89:BE93" si="41">AU43-BE43</f>
        <v>-2.4261917086382812E-3</v>
      </c>
      <c r="BF89" s="31">
        <f t="shared" ref="BF89:BF93" si="42">AV43-BF43</f>
        <v>-8.1390278761531709E-3</v>
      </c>
      <c r="BG89" s="31">
        <f t="shared" ref="BG89:BG93" si="43">AW43-BG43</f>
        <v>-8.7875749856018981E-3</v>
      </c>
      <c r="BH89" s="15">
        <f t="shared" ref="BH89:BH93" si="44">AX43-BH43</f>
        <v>-3.6110760243629469E-3</v>
      </c>
    </row>
    <row r="90" spans="52:60" x14ac:dyDescent="0.25">
      <c r="AZ90" s="13">
        <v>50</v>
      </c>
      <c r="BA90" s="31">
        <f t="shared" si="37"/>
        <v>-1.047629140460804E-3</v>
      </c>
      <c r="BB90" s="31">
        <f t="shared" si="38"/>
        <v>2.2616711511730947E-3</v>
      </c>
      <c r="BC90" s="31">
        <f t="shared" si="39"/>
        <v>3.6903440289423051E-3</v>
      </c>
      <c r="BD90" s="31">
        <f t="shared" si="40"/>
        <v>2.716925465628961E-3</v>
      </c>
      <c r="BE90" s="31">
        <f t="shared" si="41"/>
        <v>4.7489770959818767E-4</v>
      </c>
      <c r="BF90" s="31">
        <f t="shared" si="42"/>
        <v>-5.4186035076297934E-4</v>
      </c>
      <c r="BG90" s="31">
        <f t="shared" si="43"/>
        <v>1.9996744926011334E-3</v>
      </c>
      <c r="BH90" s="15">
        <f t="shared" si="44"/>
        <v>8.5279199344944212E-3</v>
      </c>
    </row>
    <row r="91" spans="52:60" x14ac:dyDescent="0.25">
      <c r="AZ91" s="13">
        <v>60</v>
      </c>
      <c r="BA91" s="31">
        <f t="shared" si="37"/>
        <v>-1.0075855122733623E-2</v>
      </c>
      <c r="BB91" s="31">
        <f t="shared" si="38"/>
        <v>-6.751192566942954E-3</v>
      </c>
      <c r="BC91" s="31">
        <f t="shared" si="39"/>
        <v>-2.2643697519279526E-3</v>
      </c>
      <c r="BD91" s="31">
        <f t="shared" si="40"/>
        <v>1.8155100194910401E-3</v>
      </c>
      <c r="BE91" s="31">
        <f t="shared" si="41"/>
        <v>4.9172823728287907E-3</v>
      </c>
      <c r="BF91" s="31">
        <f t="shared" si="42"/>
        <v>8.0159821975829271E-3</v>
      </c>
      <c r="BG91" s="31">
        <f t="shared" si="43"/>
        <v>1.2523939810107299E-2</v>
      </c>
      <c r="BH91" s="15">
        <f t="shared" si="44"/>
        <v>1.8779509702007147E-2</v>
      </c>
    </row>
    <row r="92" spans="52:60" x14ac:dyDescent="0.25">
      <c r="AZ92" s="13">
        <v>70</v>
      </c>
      <c r="BA92" s="31">
        <f t="shared" si="37"/>
        <v>-1.2862135801266106E-2</v>
      </c>
      <c r="BB92" s="31">
        <f t="shared" si="38"/>
        <v>-1.017634376298121E-2</v>
      </c>
      <c r="BC92" s="31">
        <f t="shared" si="39"/>
        <v>-4.4787828399787122E-3</v>
      </c>
      <c r="BD92" s="31">
        <f t="shared" si="40"/>
        <v>2.2703756180321721E-3</v>
      </c>
      <c r="BE92" s="31">
        <f t="shared" si="41"/>
        <v>8.3628975796937177E-3</v>
      </c>
      <c r="BF92" s="31">
        <f t="shared" si="42"/>
        <v>1.3649737186603506E-2</v>
      </c>
      <c r="BG92" s="31">
        <f t="shared" si="43"/>
        <v>1.8845602147457785E-2</v>
      </c>
      <c r="BH92" s="15">
        <f t="shared" si="44"/>
        <v>2.4241514657730723E-2</v>
      </c>
    </row>
    <row r="93" spans="52:60" ht="15.75" thickBot="1" x14ac:dyDescent="0.3">
      <c r="AZ93" s="16">
        <v>80</v>
      </c>
      <c r="BA93" s="17">
        <f t="shared" si="37"/>
        <v>-1.097206092631825E-2</v>
      </c>
      <c r="BB93" s="17">
        <f t="shared" si="38"/>
        <v>-9.0773736496359003E-3</v>
      </c>
      <c r="BC93" s="17">
        <f t="shared" si="39"/>
        <v>-4.469579072981622E-3</v>
      </c>
      <c r="BD93" s="17">
        <f t="shared" si="40"/>
        <v>1.7547214442383829E-3</v>
      </c>
      <c r="BE93" s="17">
        <f t="shared" si="41"/>
        <v>8.202892713515042E-3</v>
      </c>
      <c r="BF93" s="17">
        <f t="shared" si="42"/>
        <v>1.4327126675880097E-2</v>
      </c>
      <c r="BG93" s="17">
        <f t="shared" si="43"/>
        <v>2.0156631481835496E-2</v>
      </c>
      <c r="BH93" s="18">
        <f t="shared" si="44"/>
        <v>2.5515899648508755E-2</v>
      </c>
    </row>
  </sheetData>
  <mergeCells count="12">
    <mergeCell ref="AF1:AI2"/>
    <mergeCell ref="AK1:AN2"/>
    <mergeCell ref="AP1:AS2"/>
    <mergeCell ref="AU1:AX2"/>
    <mergeCell ref="AZ1:BC2"/>
    <mergeCell ref="BE1:BH2"/>
    <mergeCell ref="B1:E2"/>
    <mergeCell ref="G1:J2"/>
    <mergeCell ref="L1:O2"/>
    <mergeCell ref="Q1:T2"/>
    <mergeCell ref="V1:Y2"/>
    <mergeCell ref="AA1:AD2"/>
  </mergeCells>
  <conditionalFormatting sqref="M6:T11">
    <cfRule type="colorScale" priority="66">
      <colorScale>
        <cfvo type="min"/>
        <cfvo type="max"/>
        <color rgb="FF63BE7B"/>
        <color rgb="FFFCFCFF"/>
      </colorScale>
    </cfRule>
  </conditionalFormatting>
  <conditionalFormatting sqref="M15:T20">
    <cfRule type="colorScale" priority="65">
      <colorScale>
        <cfvo type="min"/>
        <cfvo type="max"/>
        <color rgb="FFF8696B"/>
        <color rgb="FFFCFCFF"/>
      </colorScale>
    </cfRule>
  </conditionalFormatting>
  <conditionalFormatting sqref="M24:T29">
    <cfRule type="colorScale" priority="63">
      <colorScale>
        <cfvo type="min"/>
        <cfvo type="max"/>
        <color rgb="FFFFC000"/>
        <color rgb="FFFFFFCC"/>
      </colorScale>
    </cfRule>
    <cfRule type="colorScale" priority="64">
      <colorScale>
        <cfvo type="min"/>
        <cfvo type="max"/>
        <color rgb="FFF8696B"/>
        <color rgb="FFFCFCFF"/>
      </colorScale>
    </cfRule>
  </conditionalFormatting>
  <conditionalFormatting sqref="M33:T38">
    <cfRule type="colorScale" priority="59">
      <colorScale>
        <cfvo type="min"/>
        <cfvo type="max"/>
        <color rgb="FF0099FF"/>
        <color rgb="FFCCECFF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1">
      <colorScale>
        <cfvo type="min"/>
        <cfvo type="max"/>
        <color rgb="FFFFC000"/>
        <color rgb="FFFFFFCC"/>
      </colorScale>
    </cfRule>
    <cfRule type="colorScale" priority="62">
      <colorScale>
        <cfvo type="min"/>
        <cfvo type="max"/>
        <color rgb="FFF8696B"/>
        <color rgb="FFFCFCFF"/>
      </colorScale>
    </cfRule>
  </conditionalFormatting>
  <conditionalFormatting sqref="M42:T47">
    <cfRule type="colorScale" priority="56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57">
      <colorScale>
        <cfvo type="min"/>
        <cfvo type="max"/>
        <color rgb="FFFFC000"/>
        <color rgb="FFFFFFCC"/>
      </colorScale>
    </cfRule>
    <cfRule type="colorScale" priority="58">
      <colorScale>
        <cfvo type="min"/>
        <cfvo type="max"/>
        <color rgb="FFF8696B"/>
        <color rgb="FFFCFCFF"/>
      </colorScale>
    </cfRule>
  </conditionalFormatting>
  <conditionalFormatting sqref="BI6:BJ11">
    <cfRule type="colorScale" priority="88">
      <colorScale>
        <cfvo type="min"/>
        <cfvo type="max"/>
        <color rgb="FF63BE7B"/>
        <color rgb="FFFCFCFF"/>
      </colorScale>
    </cfRule>
  </conditionalFormatting>
  <conditionalFormatting sqref="BI15:BJ20">
    <cfRule type="colorScale" priority="87">
      <colorScale>
        <cfvo type="min"/>
        <cfvo type="max"/>
        <color rgb="FFF8696B"/>
        <color rgb="FFFCFCFF"/>
      </colorScale>
    </cfRule>
  </conditionalFormatting>
  <conditionalFormatting sqref="BI24:BJ29">
    <cfRule type="colorScale" priority="85">
      <colorScale>
        <cfvo type="min"/>
        <cfvo type="max"/>
        <color rgb="FFFFC000"/>
        <color rgb="FFFFFFCC"/>
      </colorScale>
    </cfRule>
    <cfRule type="colorScale" priority="86">
      <colorScale>
        <cfvo type="min"/>
        <cfvo type="max"/>
        <color rgb="FFF8696B"/>
        <color rgb="FFFCFCFF"/>
      </colorScale>
    </cfRule>
  </conditionalFormatting>
  <conditionalFormatting sqref="BI33:BJ38">
    <cfRule type="colorScale" priority="81">
      <colorScale>
        <cfvo type="min"/>
        <cfvo type="max"/>
        <color rgb="FF0099FF"/>
        <color rgb="FFCCECFF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83">
      <colorScale>
        <cfvo type="min"/>
        <cfvo type="max"/>
        <color rgb="FFFFC000"/>
        <color rgb="FFFFFFCC"/>
      </colorScale>
    </cfRule>
    <cfRule type="colorScale" priority="84">
      <colorScale>
        <cfvo type="min"/>
        <cfvo type="max"/>
        <color rgb="FFF8696B"/>
        <color rgb="FFFCFCFF"/>
      </colorScale>
    </cfRule>
  </conditionalFormatting>
  <conditionalFormatting sqref="BI42:BJ47">
    <cfRule type="colorScale" priority="7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79">
      <colorScale>
        <cfvo type="min"/>
        <cfvo type="max"/>
        <color rgb="FFFFC000"/>
        <color rgb="FFFFFFCC"/>
      </colorScale>
    </cfRule>
    <cfRule type="colorScale" priority="80">
      <colorScale>
        <cfvo type="min"/>
        <cfvo type="max"/>
        <color rgb="FFF8696B"/>
        <color rgb="FFFCFCFF"/>
      </colorScale>
    </cfRule>
  </conditionalFormatting>
  <conditionalFormatting sqref="C6:J11">
    <cfRule type="colorScale" priority="77">
      <colorScale>
        <cfvo type="min"/>
        <cfvo type="max"/>
        <color rgb="FF63BE7B"/>
        <color rgb="FFFCFCFF"/>
      </colorScale>
    </cfRule>
  </conditionalFormatting>
  <conditionalFormatting sqref="C15:J20">
    <cfRule type="colorScale" priority="76">
      <colorScale>
        <cfvo type="min"/>
        <cfvo type="max"/>
        <color rgb="FFF8696B"/>
        <color rgb="FFFCFCFF"/>
      </colorScale>
    </cfRule>
  </conditionalFormatting>
  <conditionalFormatting sqref="C24:J29">
    <cfRule type="colorScale" priority="74">
      <colorScale>
        <cfvo type="min"/>
        <cfvo type="max"/>
        <color rgb="FFFFC000"/>
        <color rgb="FFFFFFCC"/>
      </colorScale>
    </cfRule>
    <cfRule type="colorScale" priority="75">
      <colorScale>
        <cfvo type="min"/>
        <cfvo type="max"/>
        <color rgb="FFF8696B"/>
        <color rgb="FFFCFCFF"/>
      </colorScale>
    </cfRule>
  </conditionalFormatting>
  <conditionalFormatting sqref="C33:J38">
    <cfRule type="colorScale" priority="70">
      <colorScale>
        <cfvo type="min"/>
        <cfvo type="max"/>
        <color rgb="FF0099FF"/>
        <color rgb="FFCCECFF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2">
      <colorScale>
        <cfvo type="min"/>
        <cfvo type="max"/>
        <color rgb="FFFFC000"/>
        <color rgb="FFFFFFCC"/>
      </colorScale>
    </cfRule>
    <cfRule type="colorScale" priority="73">
      <colorScale>
        <cfvo type="min"/>
        <cfvo type="max"/>
        <color rgb="FFF8696B"/>
        <color rgb="FFFCFCFF"/>
      </colorScale>
    </cfRule>
  </conditionalFormatting>
  <conditionalFormatting sqref="C42:J47">
    <cfRule type="colorScale" priority="67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68">
      <colorScale>
        <cfvo type="min"/>
        <cfvo type="max"/>
        <color rgb="FFFFC000"/>
        <color rgb="FFFFFFCC"/>
      </colorScale>
    </cfRule>
    <cfRule type="colorScale" priority="69">
      <colorScale>
        <cfvo type="min"/>
        <cfvo type="max"/>
        <color rgb="FFF8696B"/>
        <color rgb="FFFCFCFF"/>
      </colorScale>
    </cfRule>
  </conditionalFormatting>
  <conditionalFormatting sqref="W6:AD11">
    <cfRule type="colorScale" priority="55">
      <colorScale>
        <cfvo type="min"/>
        <cfvo type="max"/>
        <color rgb="FF63BE7B"/>
        <color rgb="FFFCFCFF"/>
      </colorScale>
    </cfRule>
  </conditionalFormatting>
  <conditionalFormatting sqref="W15:AD20">
    <cfRule type="colorScale" priority="54">
      <colorScale>
        <cfvo type="min"/>
        <cfvo type="max"/>
        <color rgb="FFF8696B"/>
        <color rgb="FFFCFCFF"/>
      </colorScale>
    </cfRule>
  </conditionalFormatting>
  <conditionalFormatting sqref="W24:AD29">
    <cfRule type="colorScale" priority="52">
      <colorScale>
        <cfvo type="min"/>
        <cfvo type="max"/>
        <color rgb="FFFFC000"/>
        <color rgb="FFFFFFCC"/>
      </colorScale>
    </cfRule>
    <cfRule type="colorScale" priority="53">
      <colorScale>
        <cfvo type="min"/>
        <cfvo type="max"/>
        <color rgb="FFF8696B"/>
        <color rgb="FFFCFCFF"/>
      </colorScale>
    </cfRule>
  </conditionalFormatting>
  <conditionalFormatting sqref="W33:AD38">
    <cfRule type="colorScale" priority="48">
      <colorScale>
        <cfvo type="min"/>
        <cfvo type="max"/>
        <color rgb="FF0099FF"/>
        <color rgb="FFCCECFF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0">
      <colorScale>
        <cfvo type="min"/>
        <cfvo type="max"/>
        <color rgb="FFFFC000"/>
        <color rgb="FFFFFFCC"/>
      </colorScale>
    </cfRule>
    <cfRule type="colorScale" priority="51">
      <colorScale>
        <cfvo type="min"/>
        <cfvo type="max"/>
        <color rgb="FFF8696B"/>
        <color rgb="FFFCFCFF"/>
      </colorScale>
    </cfRule>
  </conditionalFormatting>
  <conditionalFormatting sqref="W42:AD47">
    <cfRule type="colorScale" priority="45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46">
      <colorScale>
        <cfvo type="min"/>
        <cfvo type="max"/>
        <color rgb="FFFFC000"/>
        <color rgb="FFFFFFCC"/>
      </colorScale>
    </cfRule>
    <cfRule type="colorScale" priority="47">
      <colorScale>
        <cfvo type="min"/>
        <cfvo type="max"/>
        <color rgb="FFF8696B"/>
        <color rgb="FFFCFCFF"/>
      </colorScale>
    </cfRule>
  </conditionalFormatting>
  <conditionalFormatting sqref="AG6:AN11">
    <cfRule type="colorScale" priority="44">
      <colorScale>
        <cfvo type="min"/>
        <cfvo type="max"/>
        <color rgb="FF63BE7B"/>
        <color rgb="FFFCFCFF"/>
      </colorScale>
    </cfRule>
  </conditionalFormatting>
  <conditionalFormatting sqref="AG15:AN20">
    <cfRule type="colorScale" priority="43">
      <colorScale>
        <cfvo type="min"/>
        <cfvo type="max"/>
        <color rgb="FFF8696B"/>
        <color rgb="FFFCFCFF"/>
      </colorScale>
    </cfRule>
  </conditionalFormatting>
  <conditionalFormatting sqref="AG24:AN29">
    <cfRule type="colorScale" priority="41">
      <colorScale>
        <cfvo type="min"/>
        <cfvo type="max"/>
        <color rgb="FFFFC000"/>
        <color rgb="FFFFFFCC"/>
      </colorScale>
    </cfRule>
    <cfRule type="colorScale" priority="42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37">
      <colorScale>
        <cfvo type="min"/>
        <cfvo type="max"/>
        <color rgb="FF0099FF"/>
        <color rgb="FFCCECFF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9">
      <colorScale>
        <cfvo type="min"/>
        <cfvo type="max"/>
        <color rgb="FFFFC000"/>
        <color rgb="FFFFFFCC"/>
      </colorScale>
    </cfRule>
    <cfRule type="colorScale" priority="40">
      <colorScale>
        <cfvo type="min"/>
        <cfvo type="max"/>
        <color rgb="FFF8696B"/>
        <color rgb="FFFCFCFF"/>
      </colorScale>
    </cfRule>
  </conditionalFormatting>
  <conditionalFormatting sqref="AG42:AN47">
    <cfRule type="colorScale" priority="34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35">
      <colorScale>
        <cfvo type="min"/>
        <cfvo type="max"/>
        <color rgb="FFFFC000"/>
        <color rgb="FFFFFFCC"/>
      </colorScale>
    </cfRule>
    <cfRule type="colorScale" priority="36">
      <colorScale>
        <cfvo type="min"/>
        <cfvo type="max"/>
        <color rgb="FFF8696B"/>
        <color rgb="FFFCFCFF"/>
      </colorScale>
    </cfRule>
  </conditionalFormatting>
  <conditionalFormatting sqref="AQ6:AX11">
    <cfRule type="colorScale" priority="33">
      <colorScale>
        <cfvo type="min"/>
        <cfvo type="max"/>
        <color rgb="FF63BE7B"/>
        <color rgb="FFFCFCFF"/>
      </colorScale>
    </cfRule>
  </conditionalFormatting>
  <conditionalFormatting sqref="AQ15:AX20">
    <cfRule type="colorScale" priority="32">
      <colorScale>
        <cfvo type="min"/>
        <cfvo type="max"/>
        <color rgb="FFF8696B"/>
        <color rgb="FFFCFCFF"/>
      </colorScale>
    </cfRule>
  </conditionalFormatting>
  <conditionalFormatting sqref="AQ24:AX29">
    <cfRule type="colorScale" priority="30">
      <colorScale>
        <cfvo type="min"/>
        <cfvo type="max"/>
        <color rgb="FFFFC000"/>
        <color rgb="FFFFFFCC"/>
      </colorScale>
    </cfRule>
    <cfRule type="colorScale" priority="31">
      <colorScale>
        <cfvo type="min"/>
        <cfvo type="max"/>
        <color rgb="FFF8696B"/>
        <color rgb="FFFCFCFF"/>
      </colorScale>
    </cfRule>
  </conditionalFormatting>
  <conditionalFormatting sqref="AQ33:AX38">
    <cfRule type="colorScale" priority="26">
      <colorScale>
        <cfvo type="min"/>
        <cfvo type="max"/>
        <color rgb="FF0099FF"/>
        <color rgb="FFCCECFF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8">
      <colorScale>
        <cfvo type="min"/>
        <cfvo type="max"/>
        <color rgb="FFFFC000"/>
        <color rgb="FFFFFFCC"/>
      </colorScale>
    </cfRule>
    <cfRule type="colorScale" priority="29">
      <colorScale>
        <cfvo type="min"/>
        <cfvo type="max"/>
        <color rgb="FFF8696B"/>
        <color rgb="FFFCFCFF"/>
      </colorScale>
    </cfRule>
  </conditionalFormatting>
  <conditionalFormatting sqref="AQ42:AX47">
    <cfRule type="colorScale" priority="23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24">
      <colorScale>
        <cfvo type="min"/>
        <cfvo type="max"/>
        <color rgb="FFFFC000"/>
        <color rgb="FFFFFFCC"/>
      </colorScale>
    </cfRule>
    <cfRule type="colorScale" priority="25">
      <colorScale>
        <cfvo type="min"/>
        <cfvo type="max"/>
        <color rgb="FFF8696B"/>
        <color rgb="FFFCFCFF"/>
      </colorScale>
    </cfRule>
  </conditionalFormatting>
  <conditionalFormatting sqref="BA6:BH11">
    <cfRule type="colorScale" priority="22">
      <colorScale>
        <cfvo type="min"/>
        <cfvo type="max"/>
        <color rgb="FF63BE7B"/>
        <color rgb="FFFCFCFF"/>
      </colorScale>
    </cfRule>
  </conditionalFormatting>
  <conditionalFormatting sqref="BA15:BH20">
    <cfRule type="colorScale" priority="21">
      <colorScale>
        <cfvo type="min"/>
        <cfvo type="max"/>
        <color rgb="FFF8696B"/>
        <color rgb="FFFCFCFF"/>
      </colorScale>
    </cfRule>
  </conditionalFormatting>
  <conditionalFormatting sqref="BA24:BH29">
    <cfRule type="colorScale" priority="19">
      <colorScale>
        <cfvo type="min"/>
        <cfvo type="max"/>
        <color rgb="FFFFC000"/>
        <color rgb="FFFFFFCC"/>
      </colorScale>
    </cfRule>
    <cfRule type="colorScale" priority="20">
      <colorScale>
        <cfvo type="min"/>
        <cfvo type="max"/>
        <color rgb="FFF8696B"/>
        <color rgb="FFFCFCFF"/>
      </colorScale>
    </cfRule>
  </conditionalFormatting>
  <conditionalFormatting sqref="BA33:BH38">
    <cfRule type="colorScale" priority="15">
      <colorScale>
        <cfvo type="min"/>
        <cfvo type="max"/>
        <color rgb="FF0099FF"/>
        <color rgb="FFCCECFF"/>
      </colorScale>
    </cfRule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7">
      <colorScale>
        <cfvo type="min"/>
        <cfvo type="max"/>
        <color rgb="FFFFC000"/>
        <color rgb="FFFFFFCC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BA42:BH47">
    <cfRule type="colorScale" priority="12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13">
      <colorScale>
        <cfvo type="min"/>
        <cfvo type="max"/>
        <color rgb="FFFFC000"/>
        <color rgb="FFFFFFCC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BA52:BH57">
    <cfRule type="colorScale" priority="11">
      <colorScale>
        <cfvo type="min"/>
        <cfvo type="max"/>
        <color rgb="FF63BE7B"/>
        <color rgb="FFFCFCFF"/>
      </colorScale>
    </cfRule>
  </conditionalFormatting>
  <conditionalFormatting sqref="BA61:BH66">
    <cfRule type="colorScale" priority="10">
      <colorScale>
        <cfvo type="min"/>
        <cfvo type="max"/>
        <color rgb="FFF8696B"/>
        <color rgb="FFFCFCFF"/>
      </colorScale>
    </cfRule>
  </conditionalFormatting>
  <conditionalFormatting sqref="BA70:BH75">
    <cfRule type="colorScale" priority="8">
      <colorScale>
        <cfvo type="min"/>
        <cfvo type="max"/>
        <color rgb="FFFFC000"/>
        <color rgb="FFFFFFCC"/>
      </colorScale>
    </cfRule>
    <cfRule type="colorScale" priority="9">
      <colorScale>
        <cfvo type="min"/>
        <cfvo type="max"/>
        <color rgb="FFF8696B"/>
        <color rgb="FFFCFCFF"/>
      </colorScale>
    </cfRule>
  </conditionalFormatting>
  <conditionalFormatting sqref="BA79:BH84">
    <cfRule type="colorScale" priority="4">
      <colorScale>
        <cfvo type="min"/>
        <cfvo type="max"/>
        <color rgb="FF0099FF"/>
        <color rgb="FFCCECFF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FC000"/>
        <color rgb="FFFFFFCC"/>
      </colorScale>
    </cfRule>
    <cfRule type="colorScale" priority="7">
      <colorScale>
        <cfvo type="min"/>
        <cfvo type="max"/>
        <color rgb="FFF8696B"/>
        <color rgb="FFFCFCFF"/>
      </colorScale>
    </cfRule>
  </conditionalFormatting>
  <conditionalFormatting sqref="BA88:BH93">
    <cfRule type="colorScale" priority="1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2">
      <colorScale>
        <cfvo type="min"/>
        <cfvo type="max"/>
        <color rgb="FFFFC000"/>
        <color rgb="FFFFFFCC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2508-A0C5-4DA2-A150-E7427DA65BDC}">
  <dimension ref="B1:AM51"/>
  <sheetViews>
    <sheetView zoomScale="85" zoomScaleNormal="85" workbookViewId="0">
      <pane ySplit="3" topLeftCell="A10" activePane="bottomLeft" state="frozen"/>
      <selection pane="bottomLeft" activeCell="AS11" sqref="AS11"/>
    </sheetView>
  </sheetViews>
  <sheetFormatPr defaultRowHeight="15" x14ac:dyDescent="0.25"/>
  <cols>
    <col min="1" max="1" width="3.7109375" customWidth="1"/>
    <col min="2" max="3" width="8.42578125" customWidth="1"/>
    <col min="4" max="22" width="0" hidden="1" customWidth="1"/>
    <col min="31" max="32" width="11.42578125" bestFit="1" customWidth="1"/>
    <col min="34" max="35" width="11.42578125" bestFit="1" customWidth="1"/>
    <col min="37" max="38" width="11.42578125" bestFit="1" customWidth="1"/>
  </cols>
  <sheetData>
    <row r="1" spans="2:39" ht="15.75" thickBot="1" x14ac:dyDescent="0.3">
      <c r="D1" s="78" t="s">
        <v>14</v>
      </c>
      <c r="E1" s="79" t="s">
        <v>31</v>
      </c>
      <c r="F1" s="80"/>
      <c r="G1" s="78" t="s">
        <v>14</v>
      </c>
      <c r="H1" s="79" t="s">
        <v>15</v>
      </c>
      <c r="I1" s="80"/>
      <c r="J1" s="78" t="s">
        <v>16</v>
      </c>
      <c r="K1" s="79" t="s">
        <v>15</v>
      </c>
      <c r="L1" s="80"/>
      <c r="M1" s="78" t="s">
        <v>17</v>
      </c>
      <c r="N1" s="79" t="s">
        <v>15</v>
      </c>
      <c r="O1" s="80"/>
      <c r="P1" s="78" t="s">
        <v>17</v>
      </c>
      <c r="Q1" s="79" t="s">
        <v>18</v>
      </c>
      <c r="R1" s="80"/>
      <c r="S1" s="78" t="s">
        <v>19</v>
      </c>
      <c r="T1" s="79" t="s">
        <v>20</v>
      </c>
      <c r="W1" s="82" t="s">
        <v>37</v>
      </c>
      <c r="X1" s="82"/>
      <c r="Y1" s="82"/>
      <c r="Z1" s="82"/>
      <c r="AA1" s="82"/>
      <c r="AB1" s="82"/>
      <c r="AD1" s="83" t="s">
        <v>38</v>
      </c>
      <c r="AE1" s="83"/>
      <c r="AF1" s="83"/>
      <c r="AG1" s="83"/>
      <c r="AH1" s="83"/>
      <c r="AI1" s="83"/>
      <c r="AJ1" s="83"/>
      <c r="AK1" s="83"/>
      <c r="AL1" s="83"/>
    </row>
    <row r="2" spans="2:39" ht="15.75" thickBot="1" x14ac:dyDescent="0.3">
      <c r="D2" s="78"/>
      <c r="E2" s="79"/>
      <c r="F2" s="80"/>
      <c r="G2" s="78"/>
      <c r="H2" s="79"/>
      <c r="I2" s="80"/>
      <c r="J2" s="78"/>
      <c r="K2" s="79"/>
      <c r="L2" s="80"/>
      <c r="M2" s="78"/>
      <c r="N2" s="79"/>
      <c r="O2" s="80"/>
      <c r="P2" s="78"/>
      <c r="Q2" s="79"/>
      <c r="R2" s="80"/>
      <c r="S2" s="78"/>
      <c r="T2" s="79"/>
      <c r="W2" s="84">
        <v>0</v>
      </c>
      <c r="X2" s="88">
        <v>3</v>
      </c>
      <c r="Y2" s="85">
        <v>0</v>
      </c>
      <c r="Z2" s="88">
        <v>3</v>
      </c>
      <c r="AA2" s="85">
        <v>0</v>
      </c>
      <c r="AB2" s="88">
        <v>3</v>
      </c>
      <c r="AC2" s="86" t="s">
        <v>26</v>
      </c>
      <c r="AD2" s="84">
        <v>0</v>
      </c>
      <c r="AE2" s="87">
        <v>-0.8</v>
      </c>
      <c r="AF2" s="89">
        <v>-1.6</v>
      </c>
      <c r="AG2" s="85">
        <v>0</v>
      </c>
      <c r="AH2" s="87">
        <v>-0.8</v>
      </c>
      <c r="AI2" s="89">
        <v>-1.6</v>
      </c>
      <c r="AJ2" s="85">
        <v>0</v>
      </c>
      <c r="AK2" s="87">
        <v>-0.8</v>
      </c>
      <c r="AL2" s="89">
        <v>-1.6</v>
      </c>
      <c r="AM2" s="86" t="s">
        <v>25</v>
      </c>
    </row>
    <row r="3" spans="2:39" x14ac:dyDescent="0.25">
      <c r="B3" t="s">
        <v>21</v>
      </c>
      <c r="C3" t="s">
        <v>22</v>
      </c>
      <c r="D3" s="2" t="s">
        <v>6</v>
      </c>
      <c r="E3" s="2" t="s">
        <v>7</v>
      </c>
      <c r="F3" s="2" t="s">
        <v>8</v>
      </c>
      <c r="G3" s="2" t="s">
        <v>6</v>
      </c>
      <c r="H3" s="2" t="s">
        <v>7</v>
      </c>
      <c r="I3" s="2" t="s">
        <v>8</v>
      </c>
      <c r="J3" s="2" t="s">
        <v>6</v>
      </c>
      <c r="K3" s="2" t="s">
        <v>7</v>
      </c>
      <c r="L3" s="2" t="s">
        <v>8</v>
      </c>
      <c r="M3" s="2" t="s">
        <v>6</v>
      </c>
      <c r="N3" s="2" t="s">
        <v>7</v>
      </c>
      <c r="O3" s="2" t="s">
        <v>8</v>
      </c>
      <c r="P3" s="2" t="s">
        <v>6</v>
      </c>
      <c r="Q3" s="2" t="s">
        <v>7</v>
      </c>
      <c r="R3" s="2" t="s">
        <v>8</v>
      </c>
      <c r="S3" s="2" t="s">
        <v>6</v>
      </c>
      <c r="T3" s="2" t="s">
        <v>7</v>
      </c>
      <c r="U3" s="2" t="s">
        <v>8</v>
      </c>
      <c r="W3" s="81" t="s">
        <v>6</v>
      </c>
      <c r="X3" s="81"/>
      <c r="Y3" s="81" t="s">
        <v>7</v>
      </c>
      <c r="Z3" s="81"/>
      <c r="AA3" s="81" t="s">
        <v>8</v>
      </c>
      <c r="AB3" s="81"/>
      <c r="AD3" s="81" t="s">
        <v>6</v>
      </c>
      <c r="AE3" s="81"/>
      <c r="AF3" s="81"/>
      <c r="AG3" s="81" t="s">
        <v>7</v>
      </c>
      <c r="AH3" s="81"/>
      <c r="AI3" s="81"/>
      <c r="AJ3" s="81" t="s">
        <v>8</v>
      </c>
      <c r="AK3" s="81"/>
      <c r="AL3" s="81"/>
    </row>
    <row r="4" spans="2:39" x14ac:dyDescent="0.25">
      <c r="B4" s="21">
        <v>30</v>
      </c>
      <c r="C4" s="25">
        <v>30</v>
      </c>
      <c r="D4" s="4">
        <v>1.0301230593314969</v>
      </c>
      <c r="E4" s="4">
        <v>1.8101191211465175</v>
      </c>
      <c r="F4" s="4">
        <v>2.0417592779785094</v>
      </c>
      <c r="G4" s="1">
        <v>1.0296632258292395</v>
      </c>
      <c r="H4" s="1">
        <v>1.8141826422612177</v>
      </c>
      <c r="I4" s="1">
        <v>2.0542248987643328</v>
      </c>
      <c r="J4" s="4">
        <v>1.0413178846047439</v>
      </c>
      <c r="K4" s="4">
        <v>1.8862123317855861</v>
      </c>
      <c r="L4" s="4">
        <v>2.0733160822147521</v>
      </c>
      <c r="M4" s="1">
        <v>1.0474024050673179</v>
      </c>
      <c r="N4" s="1">
        <v>1.9222062110721367</v>
      </c>
      <c r="O4" s="1">
        <v>2.079516329276478</v>
      </c>
      <c r="P4" s="4">
        <v>1.0505218345656362</v>
      </c>
      <c r="Q4" s="4">
        <v>1.9078226100762561</v>
      </c>
      <c r="R4" s="4">
        <v>2.1719784291561117</v>
      </c>
      <c r="S4" s="1">
        <v>1.0499245477165999</v>
      </c>
      <c r="T4" s="1">
        <v>1.7738681270971852</v>
      </c>
      <c r="U4" s="1">
        <v>2.1753036432530761</v>
      </c>
      <c r="W4" s="1">
        <f>D4</f>
        <v>1.0301230593314969</v>
      </c>
      <c r="X4" s="1">
        <f>G4</f>
        <v>1.0296632258292395</v>
      </c>
      <c r="Y4" s="1">
        <f>E4</f>
        <v>1.8101191211465175</v>
      </c>
      <c r="Z4" s="1">
        <f>H4</f>
        <v>1.8141826422612177</v>
      </c>
      <c r="AA4" s="1">
        <f>F4</f>
        <v>2.0417592779785094</v>
      </c>
      <c r="AB4" s="1">
        <f>I4</f>
        <v>2.0542248987643328</v>
      </c>
      <c r="AD4" s="1">
        <f>G4</f>
        <v>1.0296632258292395</v>
      </c>
      <c r="AE4" s="1">
        <f>J4</f>
        <v>1.0413178846047439</v>
      </c>
      <c r="AF4" s="1">
        <f>M4</f>
        <v>1.0474024050673179</v>
      </c>
      <c r="AG4" s="1">
        <f>H4</f>
        <v>1.8141826422612177</v>
      </c>
      <c r="AH4" s="1">
        <f>K4</f>
        <v>1.8862123317855861</v>
      </c>
      <c r="AI4" s="1">
        <f>N4</f>
        <v>1.9222062110721367</v>
      </c>
      <c r="AJ4" s="1">
        <f>I4</f>
        <v>2.0542248987643328</v>
      </c>
      <c r="AK4" s="1">
        <f>L4</f>
        <v>2.0733160822147521</v>
      </c>
      <c r="AL4" s="1">
        <f>O4</f>
        <v>2.079516329276478</v>
      </c>
    </row>
    <row r="5" spans="2:39" x14ac:dyDescent="0.25">
      <c r="B5" s="22">
        <v>40</v>
      </c>
      <c r="C5" s="26">
        <v>30</v>
      </c>
      <c r="D5" s="4">
        <v>1.032144373940624</v>
      </c>
      <c r="E5" s="4">
        <v>1.5501944838151862</v>
      </c>
      <c r="F5" s="4">
        <v>2.0672036465150865</v>
      </c>
      <c r="G5" s="1">
        <v>1.0272302047438766</v>
      </c>
      <c r="H5" s="1">
        <v>1.5210326583731817</v>
      </c>
      <c r="I5" s="1">
        <v>2.0453316093111118</v>
      </c>
      <c r="J5" s="4">
        <v>1.0364005470004547</v>
      </c>
      <c r="K5" s="4">
        <v>1.6026149381263251</v>
      </c>
      <c r="L5" s="4">
        <v>2.082374525666836</v>
      </c>
      <c r="M5" s="1">
        <v>1.0441175476539322</v>
      </c>
      <c r="N5" s="1">
        <v>1.689948061044644</v>
      </c>
      <c r="O5" s="1">
        <v>2.1060322607504003</v>
      </c>
      <c r="P5" s="4">
        <v>1.0449654378463689</v>
      </c>
      <c r="Q5" s="4">
        <v>1.6535158828910088</v>
      </c>
      <c r="R5" s="4">
        <v>2.1763211751033418</v>
      </c>
      <c r="S5" s="1">
        <v>1.0488644488963976</v>
      </c>
      <c r="T5" s="1">
        <v>1.5428404328397489</v>
      </c>
      <c r="U5" s="1">
        <v>2.1181680234196092</v>
      </c>
      <c r="W5" s="1">
        <f t="shared" ref="W5:W51" si="0">D5</f>
        <v>1.032144373940624</v>
      </c>
      <c r="X5" s="1">
        <f t="shared" ref="X5:X51" si="1">G5</f>
        <v>1.0272302047438766</v>
      </c>
      <c r="Y5" s="1">
        <f t="shared" ref="Y5:Y51" si="2">E5</f>
        <v>1.5501944838151862</v>
      </c>
      <c r="Z5" s="1">
        <f t="shared" ref="Z5:Z51" si="3">H5</f>
        <v>1.5210326583731817</v>
      </c>
      <c r="AA5" s="1">
        <f t="shared" ref="AA5:AA51" si="4">F5</f>
        <v>2.0672036465150865</v>
      </c>
      <c r="AB5" s="1">
        <f t="shared" ref="AB5:AB51" si="5">I5</f>
        <v>2.0453316093111118</v>
      </c>
      <c r="AD5" s="1">
        <f t="shared" ref="AD5:AD51" si="6">G5</f>
        <v>1.0272302047438766</v>
      </c>
      <c r="AE5" s="1">
        <f t="shared" ref="AE5:AE51" si="7">J5</f>
        <v>1.0364005470004547</v>
      </c>
      <c r="AF5" s="1">
        <f t="shared" ref="AF5:AF51" si="8">M5</f>
        <v>1.0441175476539322</v>
      </c>
      <c r="AG5" s="1">
        <f t="shared" ref="AG5:AG51" si="9">H5</f>
        <v>1.5210326583731817</v>
      </c>
      <c r="AH5" s="1">
        <f t="shared" ref="AH5:AH51" si="10">K5</f>
        <v>1.6026149381263251</v>
      </c>
      <c r="AI5" s="1">
        <f t="shared" ref="AI5:AI51" si="11">N5</f>
        <v>1.689948061044644</v>
      </c>
      <c r="AJ5" s="1">
        <f t="shared" ref="AJ5:AJ51" si="12">I5</f>
        <v>2.0453316093111118</v>
      </c>
      <c r="AK5" s="1">
        <f t="shared" ref="AK5:AK51" si="13">L5</f>
        <v>2.082374525666836</v>
      </c>
      <c r="AL5" s="1">
        <f t="shared" ref="AL5:AL51" si="14">O5</f>
        <v>2.1060322607504003</v>
      </c>
    </row>
    <row r="6" spans="2:39" x14ac:dyDescent="0.25">
      <c r="B6" s="22">
        <v>50</v>
      </c>
      <c r="C6" s="26">
        <v>30</v>
      </c>
      <c r="D6" s="4">
        <v>1.0359479117418096</v>
      </c>
      <c r="E6" s="4">
        <v>1.282181801475911</v>
      </c>
      <c r="F6" s="4">
        <v>2.1280185021088189</v>
      </c>
      <c r="G6" s="1">
        <v>1.0281968005863531</v>
      </c>
      <c r="H6" s="1">
        <v>1.2360015309493926</v>
      </c>
      <c r="I6" s="1">
        <v>2.0811022039196709</v>
      </c>
      <c r="J6" s="4">
        <v>1.0345683264641685</v>
      </c>
      <c r="K6" s="4">
        <v>1.286829009697479</v>
      </c>
      <c r="L6" s="4">
        <v>2.1087322481895709</v>
      </c>
      <c r="M6" s="1">
        <v>1.0412836185606866</v>
      </c>
      <c r="N6" s="1">
        <v>1.3783697691385974</v>
      </c>
      <c r="O6" s="1">
        <v>2.1138987196149603</v>
      </c>
      <c r="P6" s="4">
        <v>1.0391293088216038</v>
      </c>
      <c r="Q6" s="4">
        <v>1.3364754457579973</v>
      </c>
      <c r="R6" s="4">
        <v>2.1421018691971252</v>
      </c>
      <c r="S6" s="1">
        <v>1.0382984039878549</v>
      </c>
      <c r="T6" s="1">
        <v>1.2532602937816297</v>
      </c>
      <c r="U6" s="1">
        <v>1.9998541946677784</v>
      </c>
      <c r="W6" s="1">
        <f t="shared" si="0"/>
        <v>1.0359479117418096</v>
      </c>
      <c r="X6" s="1">
        <f t="shared" si="1"/>
        <v>1.0281968005863531</v>
      </c>
      <c r="Y6" s="1">
        <f t="shared" si="2"/>
        <v>1.282181801475911</v>
      </c>
      <c r="Z6" s="1">
        <f t="shared" si="3"/>
        <v>1.2360015309493926</v>
      </c>
      <c r="AA6" s="1">
        <f t="shared" si="4"/>
        <v>2.1280185021088189</v>
      </c>
      <c r="AB6" s="1">
        <f t="shared" si="5"/>
        <v>2.0811022039196709</v>
      </c>
      <c r="AD6" s="1">
        <f t="shared" si="6"/>
        <v>1.0281968005863531</v>
      </c>
      <c r="AE6" s="1">
        <f t="shared" si="7"/>
        <v>1.0345683264641685</v>
      </c>
      <c r="AF6" s="1">
        <f t="shared" si="8"/>
        <v>1.0412836185606866</v>
      </c>
      <c r="AG6" s="1">
        <f t="shared" si="9"/>
        <v>1.2360015309493926</v>
      </c>
      <c r="AH6" s="1">
        <f t="shared" si="10"/>
        <v>1.286829009697479</v>
      </c>
      <c r="AI6" s="1">
        <f t="shared" si="11"/>
        <v>1.3783697691385974</v>
      </c>
      <c r="AJ6" s="1">
        <f t="shared" si="12"/>
        <v>2.0811022039196709</v>
      </c>
      <c r="AK6" s="1">
        <f t="shared" si="13"/>
        <v>2.1087322481895709</v>
      </c>
      <c r="AL6" s="1">
        <f t="shared" si="14"/>
        <v>2.1138987196149603</v>
      </c>
    </row>
    <row r="7" spans="2:39" x14ac:dyDescent="0.25">
      <c r="B7" s="22">
        <v>60</v>
      </c>
      <c r="C7" s="26">
        <v>30</v>
      </c>
      <c r="D7" s="4">
        <v>1.0376206995929691</v>
      </c>
      <c r="E7" s="4">
        <v>1.0164606024220129</v>
      </c>
      <c r="F7" s="4">
        <v>2.1885816155920237</v>
      </c>
      <c r="G7" s="1">
        <v>1.0289958843557814</v>
      </c>
      <c r="H7" s="1">
        <v>0.97336059040377254</v>
      </c>
      <c r="I7" s="1">
        <v>2.1342848387219862</v>
      </c>
      <c r="J7" s="4">
        <v>1.0331697173891954</v>
      </c>
      <c r="K7" s="4">
        <v>0.98374481463283026</v>
      </c>
      <c r="L7" s="4">
        <v>2.1239299140277157</v>
      </c>
      <c r="M7" s="1">
        <v>1.0372526999993863</v>
      </c>
      <c r="N7" s="1">
        <v>1.0662884395568837</v>
      </c>
      <c r="O7" s="1">
        <v>2.0859022862715046</v>
      </c>
      <c r="P7" s="4">
        <v>1.0328622524679878</v>
      </c>
      <c r="Q7" s="4">
        <v>1.0400778021775252</v>
      </c>
      <c r="R7" s="4">
        <v>2.0672711135473119</v>
      </c>
      <c r="S7" s="1">
        <v>1.0239867637526647</v>
      </c>
      <c r="T7" s="1">
        <v>0.98561741355300714</v>
      </c>
      <c r="U7" s="1">
        <v>1.8729735552305165</v>
      </c>
      <c r="W7" s="1">
        <f t="shared" si="0"/>
        <v>1.0376206995929691</v>
      </c>
      <c r="X7" s="1">
        <f t="shared" si="1"/>
        <v>1.0289958843557814</v>
      </c>
      <c r="Y7" s="1">
        <f t="shared" si="2"/>
        <v>1.0164606024220129</v>
      </c>
      <c r="Z7" s="1">
        <f t="shared" si="3"/>
        <v>0.97336059040377254</v>
      </c>
      <c r="AA7" s="1">
        <f t="shared" si="4"/>
        <v>2.1885816155920237</v>
      </c>
      <c r="AB7" s="1">
        <f t="shared" si="5"/>
        <v>2.1342848387219862</v>
      </c>
      <c r="AD7" s="1">
        <f t="shared" si="6"/>
        <v>1.0289958843557814</v>
      </c>
      <c r="AE7" s="1">
        <f t="shared" si="7"/>
        <v>1.0331697173891954</v>
      </c>
      <c r="AF7" s="1">
        <f t="shared" si="8"/>
        <v>1.0372526999993863</v>
      </c>
      <c r="AG7" s="1">
        <f t="shared" si="9"/>
        <v>0.97336059040377254</v>
      </c>
      <c r="AH7" s="1">
        <f t="shared" si="10"/>
        <v>0.98374481463283026</v>
      </c>
      <c r="AI7" s="1">
        <f t="shared" si="11"/>
        <v>1.0662884395568837</v>
      </c>
      <c r="AJ7" s="1">
        <f t="shared" si="12"/>
        <v>2.1342848387219862</v>
      </c>
      <c r="AK7" s="1">
        <f t="shared" si="13"/>
        <v>2.1239299140277157</v>
      </c>
      <c r="AL7" s="1">
        <f t="shared" si="14"/>
        <v>2.0859022862715046</v>
      </c>
    </row>
    <row r="8" spans="2:39" x14ac:dyDescent="0.25">
      <c r="B8" s="22">
        <v>70</v>
      </c>
      <c r="C8" s="26">
        <v>30</v>
      </c>
      <c r="D8" s="4">
        <v>1.0364775988713626</v>
      </c>
      <c r="E8" s="4">
        <v>0.77380995083502335</v>
      </c>
      <c r="F8" s="4">
        <v>2.2090093913710649</v>
      </c>
      <c r="G8" s="1">
        <v>1.0280486752241074</v>
      </c>
      <c r="H8" s="1">
        <v>0.7472290844482381</v>
      </c>
      <c r="I8" s="1">
        <v>2.1603368823510687</v>
      </c>
      <c r="J8" s="4">
        <v>1.0303811055050911</v>
      </c>
      <c r="K8" s="4">
        <v>0.7399397992742327</v>
      </c>
      <c r="L8" s="4">
        <v>2.1046399055801341</v>
      </c>
      <c r="M8" s="1">
        <v>1.0321105167035882</v>
      </c>
      <c r="N8" s="1">
        <v>0.83373690716351856</v>
      </c>
      <c r="O8" s="1">
        <v>2.0265680392258254</v>
      </c>
      <c r="P8" s="4">
        <v>1.0274303088641554</v>
      </c>
      <c r="Q8" s="4">
        <v>0.8343593900271864</v>
      </c>
      <c r="R8" s="4">
        <v>1.972174407333013</v>
      </c>
      <c r="S8" s="1">
        <v>1.0171225554145582</v>
      </c>
      <c r="T8" s="1">
        <v>0.80538691616204039</v>
      </c>
      <c r="U8" s="1">
        <v>1.7913462233968354</v>
      </c>
      <c r="W8" s="1">
        <f t="shared" si="0"/>
        <v>1.0364775988713626</v>
      </c>
      <c r="X8" s="1">
        <f t="shared" si="1"/>
        <v>1.0280486752241074</v>
      </c>
      <c r="Y8" s="1">
        <f t="shared" si="2"/>
        <v>0.77380995083502335</v>
      </c>
      <c r="Z8" s="1">
        <f t="shared" si="3"/>
        <v>0.7472290844482381</v>
      </c>
      <c r="AA8" s="1">
        <f t="shared" si="4"/>
        <v>2.2090093913710649</v>
      </c>
      <c r="AB8" s="1">
        <f t="shared" si="5"/>
        <v>2.1603368823510687</v>
      </c>
      <c r="AD8" s="1">
        <f t="shared" si="6"/>
        <v>1.0280486752241074</v>
      </c>
      <c r="AE8" s="1">
        <f t="shared" si="7"/>
        <v>1.0303811055050911</v>
      </c>
      <c r="AF8" s="1">
        <f t="shared" si="8"/>
        <v>1.0321105167035882</v>
      </c>
      <c r="AG8" s="1">
        <f t="shared" si="9"/>
        <v>0.7472290844482381</v>
      </c>
      <c r="AH8" s="1">
        <f t="shared" si="10"/>
        <v>0.7399397992742327</v>
      </c>
      <c r="AI8" s="1">
        <f t="shared" si="11"/>
        <v>0.83373690716351856</v>
      </c>
      <c r="AJ8" s="1">
        <f t="shared" si="12"/>
        <v>2.1603368823510687</v>
      </c>
      <c r="AK8" s="1">
        <f t="shared" si="13"/>
        <v>2.1046399055801341</v>
      </c>
      <c r="AL8" s="1">
        <f t="shared" si="14"/>
        <v>2.0265680392258254</v>
      </c>
    </row>
    <row r="9" spans="2:39" x14ac:dyDescent="0.25">
      <c r="B9" s="23">
        <v>80</v>
      </c>
      <c r="C9" s="27">
        <v>30</v>
      </c>
      <c r="D9" s="4">
        <v>1.0357246917871077</v>
      </c>
      <c r="E9" s="4">
        <v>0.61395153873656616</v>
      </c>
      <c r="F9" s="4">
        <v>2.1786168084660016</v>
      </c>
      <c r="G9" s="1">
        <v>1.0278168683869597</v>
      </c>
      <c r="H9" s="1">
        <v>0.60667303777060044</v>
      </c>
      <c r="I9" s="1">
        <v>2.1386551941806222</v>
      </c>
      <c r="J9" s="4">
        <v>1.028271315135886</v>
      </c>
      <c r="K9" s="4">
        <v>0.60861384614091141</v>
      </c>
      <c r="L9" s="4">
        <v>2.0571943974324509</v>
      </c>
      <c r="M9" s="1">
        <v>1.0289071257795384</v>
      </c>
      <c r="N9" s="1">
        <v>0.73045984745865011</v>
      </c>
      <c r="O9" s="1">
        <v>1.9629149990314692</v>
      </c>
      <c r="P9" s="4">
        <v>1.0257803947970998</v>
      </c>
      <c r="Q9" s="4">
        <v>0.7536854991287818</v>
      </c>
      <c r="R9" s="4">
        <v>1.8921499355565616</v>
      </c>
      <c r="S9" s="1">
        <v>1.0234734203006859</v>
      </c>
      <c r="T9" s="1">
        <v>0.74466005602192609</v>
      </c>
      <c r="U9" s="1">
        <v>1.7725346228026684</v>
      </c>
      <c r="W9" s="1">
        <f t="shared" si="0"/>
        <v>1.0357246917871077</v>
      </c>
      <c r="X9" s="1">
        <f t="shared" si="1"/>
        <v>1.0278168683869597</v>
      </c>
      <c r="Y9" s="1">
        <f t="shared" si="2"/>
        <v>0.61395153873656616</v>
      </c>
      <c r="Z9" s="1">
        <f t="shared" si="3"/>
        <v>0.60667303777060044</v>
      </c>
      <c r="AA9" s="1">
        <f t="shared" si="4"/>
        <v>2.1786168084660016</v>
      </c>
      <c r="AB9" s="1">
        <f t="shared" si="5"/>
        <v>2.1386551941806222</v>
      </c>
      <c r="AD9" s="1">
        <f t="shared" si="6"/>
        <v>1.0278168683869597</v>
      </c>
      <c r="AE9" s="1">
        <f t="shared" si="7"/>
        <v>1.028271315135886</v>
      </c>
      <c r="AF9" s="1">
        <f t="shared" si="8"/>
        <v>1.0289071257795384</v>
      </c>
      <c r="AG9" s="1">
        <f t="shared" si="9"/>
        <v>0.60667303777060044</v>
      </c>
      <c r="AH9" s="1">
        <f t="shared" si="10"/>
        <v>0.60861384614091141</v>
      </c>
      <c r="AI9" s="1">
        <f t="shared" si="11"/>
        <v>0.73045984745865011</v>
      </c>
      <c r="AJ9" s="1">
        <f t="shared" si="12"/>
        <v>2.1386551941806222</v>
      </c>
      <c r="AK9" s="1">
        <f t="shared" si="13"/>
        <v>2.0571943974324509</v>
      </c>
      <c r="AL9" s="1">
        <f t="shared" si="14"/>
        <v>1.9629149990314692</v>
      </c>
    </row>
    <row r="10" spans="2:39" x14ac:dyDescent="0.25">
      <c r="B10" s="21">
        <v>30</v>
      </c>
      <c r="C10" s="25">
        <v>40</v>
      </c>
      <c r="D10" s="4">
        <v>1.048665219221969</v>
      </c>
      <c r="E10" s="4">
        <v>1.9444399955914125</v>
      </c>
      <c r="F10" s="4">
        <v>2.0857549724793012</v>
      </c>
      <c r="G10" s="1">
        <v>1.0487150005675361</v>
      </c>
      <c r="H10" s="1">
        <v>1.9783537960112629</v>
      </c>
      <c r="I10" s="1">
        <v>2.0949622533948156</v>
      </c>
      <c r="J10" s="4">
        <v>1.0573925384959366</v>
      </c>
      <c r="K10" s="4">
        <v>2.0221750162441494</v>
      </c>
      <c r="L10" s="4">
        <v>2.1019600858538396</v>
      </c>
      <c r="M10" s="1">
        <v>1.059930329246459</v>
      </c>
      <c r="N10" s="1">
        <v>2.0174577961357079</v>
      </c>
      <c r="O10" s="1">
        <v>2.1023728129214212</v>
      </c>
      <c r="P10" s="4">
        <v>1.062613583880196</v>
      </c>
      <c r="Q10" s="4">
        <v>2.0342736359786864</v>
      </c>
      <c r="R10" s="4">
        <v>2.1979743736360389</v>
      </c>
      <c r="S10" s="1">
        <v>1.0657315013733855</v>
      </c>
      <c r="T10" s="1">
        <v>1.9086166055563734</v>
      </c>
      <c r="U10" s="1">
        <v>2.2369234168584495</v>
      </c>
      <c r="W10" s="1">
        <f t="shared" si="0"/>
        <v>1.048665219221969</v>
      </c>
      <c r="X10" s="1">
        <f t="shared" si="1"/>
        <v>1.0487150005675361</v>
      </c>
      <c r="Y10" s="1">
        <f t="shared" si="2"/>
        <v>1.9444399955914125</v>
      </c>
      <c r="Z10" s="1">
        <f t="shared" si="3"/>
        <v>1.9783537960112629</v>
      </c>
      <c r="AA10" s="1">
        <f t="shared" si="4"/>
        <v>2.0857549724793012</v>
      </c>
      <c r="AB10" s="1">
        <f t="shared" si="5"/>
        <v>2.0949622533948156</v>
      </c>
      <c r="AD10" s="1">
        <f t="shared" si="6"/>
        <v>1.0487150005675361</v>
      </c>
      <c r="AE10" s="1">
        <f t="shared" si="7"/>
        <v>1.0573925384959366</v>
      </c>
      <c r="AF10" s="1">
        <f t="shared" si="8"/>
        <v>1.059930329246459</v>
      </c>
      <c r="AG10" s="1">
        <f t="shared" si="9"/>
        <v>1.9783537960112629</v>
      </c>
      <c r="AH10" s="1">
        <f t="shared" si="10"/>
        <v>2.0221750162441494</v>
      </c>
      <c r="AI10" s="1">
        <f t="shared" si="11"/>
        <v>2.0174577961357079</v>
      </c>
      <c r="AJ10" s="1">
        <f t="shared" si="12"/>
        <v>2.0949622533948156</v>
      </c>
      <c r="AK10" s="1">
        <f t="shared" si="13"/>
        <v>2.1019600858538396</v>
      </c>
      <c r="AL10" s="1">
        <f t="shared" si="14"/>
        <v>2.1023728129214212</v>
      </c>
    </row>
    <row r="11" spans="2:39" x14ac:dyDescent="0.25">
      <c r="B11" s="22">
        <v>40</v>
      </c>
      <c r="C11" s="26">
        <v>40</v>
      </c>
      <c r="D11" s="4">
        <v>1.052899179773928</v>
      </c>
      <c r="E11" s="4">
        <v>1.6787490303087256</v>
      </c>
      <c r="F11" s="4">
        <v>2.1118840219713841</v>
      </c>
      <c r="G11" s="1">
        <v>1.0479028084735442</v>
      </c>
      <c r="H11" s="1">
        <v>1.6657222437246957</v>
      </c>
      <c r="I11" s="1">
        <v>2.0860655984959369</v>
      </c>
      <c r="J11" s="4">
        <v>1.0539752298321807</v>
      </c>
      <c r="K11" s="4">
        <v>1.724502312882354</v>
      </c>
      <c r="L11" s="4">
        <v>2.1073368349121275</v>
      </c>
      <c r="M11" s="1">
        <v>1.0581194900121516</v>
      </c>
      <c r="N11" s="1">
        <v>1.7745224935324708</v>
      </c>
      <c r="O11" s="1">
        <v>2.1266784379633457</v>
      </c>
      <c r="P11" s="4">
        <v>1.0584715765495998</v>
      </c>
      <c r="Q11" s="4">
        <v>1.7615833819106961</v>
      </c>
      <c r="R11" s="4">
        <v>2.198884665258078</v>
      </c>
      <c r="S11" s="1">
        <v>1.0680446119271327</v>
      </c>
      <c r="T11" s="1">
        <v>1.6672549024884489</v>
      </c>
      <c r="U11" s="1">
        <v>2.1934966568207601</v>
      </c>
      <c r="W11" s="1">
        <f t="shared" si="0"/>
        <v>1.052899179773928</v>
      </c>
      <c r="X11" s="1">
        <f t="shared" si="1"/>
        <v>1.0479028084735442</v>
      </c>
      <c r="Y11" s="1">
        <f t="shared" si="2"/>
        <v>1.6787490303087256</v>
      </c>
      <c r="Z11" s="1">
        <f t="shared" si="3"/>
        <v>1.6657222437246957</v>
      </c>
      <c r="AA11" s="1">
        <f t="shared" si="4"/>
        <v>2.1118840219713841</v>
      </c>
      <c r="AB11" s="1">
        <f t="shared" si="5"/>
        <v>2.0860655984959369</v>
      </c>
      <c r="AD11" s="1">
        <f t="shared" si="6"/>
        <v>1.0479028084735442</v>
      </c>
      <c r="AE11" s="1">
        <f t="shared" si="7"/>
        <v>1.0539752298321807</v>
      </c>
      <c r="AF11" s="1">
        <f t="shared" si="8"/>
        <v>1.0581194900121516</v>
      </c>
      <c r="AG11" s="1">
        <f t="shared" si="9"/>
        <v>1.6657222437246957</v>
      </c>
      <c r="AH11" s="1">
        <f t="shared" si="10"/>
        <v>1.724502312882354</v>
      </c>
      <c r="AI11" s="1">
        <f t="shared" si="11"/>
        <v>1.7745224935324708</v>
      </c>
      <c r="AJ11" s="1">
        <f t="shared" si="12"/>
        <v>2.0860655984959369</v>
      </c>
      <c r="AK11" s="1">
        <f t="shared" si="13"/>
        <v>2.1073368349121275</v>
      </c>
      <c r="AL11" s="1">
        <f t="shared" si="14"/>
        <v>2.1266784379633457</v>
      </c>
    </row>
    <row r="12" spans="2:39" x14ac:dyDescent="0.25">
      <c r="B12" s="22">
        <v>50</v>
      </c>
      <c r="C12" s="26">
        <v>40</v>
      </c>
      <c r="D12" s="4">
        <v>1.0591508706096102</v>
      </c>
      <c r="E12" s="4">
        <v>1.4128829244575742</v>
      </c>
      <c r="F12" s="4">
        <v>2.1723567949358089</v>
      </c>
      <c r="G12" s="1">
        <v>1.0503735093354551</v>
      </c>
      <c r="H12" s="1">
        <v>1.3693700380800857</v>
      </c>
      <c r="I12" s="1">
        <v>2.1200628257918144</v>
      </c>
      <c r="J12" s="4">
        <v>1.0536356885973097</v>
      </c>
      <c r="K12" s="4">
        <v>1.3992502797398048</v>
      </c>
      <c r="L12" s="4">
        <v>2.1296570823396967</v>
      </c>
      <c r="M12" s="1">
        <v>1.0562876618862422</v>
      </c>
      <c r="N12" s="1">
        <v>1.4522775580696159</v>
      </c>
      <c r="O12" s="1">
        <v>2.1320078727046563</v>
      </c>
      <c r="P12" s="4">
        <v>1.0531904425273748</v>
      </c>
      <c r="Q12" s="4">
        <v>1.4236221335375592</v>
      </c>
      <c r="R12" s="4">
        <v>2.1581450550109138</v>
      </c>
      <c r="S12" s="1">
        <v>1.0597149319371495</v>
      </c>
      <c r="T12" s="1">
        <v>1.3628158821837961</v>
      </c>
      <c r="U12" s="1">
        <v>2.0855879140474807</v>
      </c>
      <c r="W12" s="1">
        <f t="shared" si="0"/>
        <v>1.0591508706096102</v>
      </c>
      <c r="X12" s="1">
        <f t="shared" si="1"/>
        <v>1.0503735093354551</v>
      </c>
      <c r="Y12" s="1">
        <f t="shared" si="2"/>
        <v>1.4128829244575742</v>
      </c>
      <c r="Z12" s="1">
        <f t="shared" si="3"/>
        <v>1.3693700380800857</v>
      </c>
      <c r="AA12" s="1">
        <f t="shared" si="4"/>
        <v>2.1723567949358089</v>
      </c>
      <c r="AB12" s="1">
        <f t="shared" si="5"/>
        <v>2.1200628257918144</v>
      </c>
      <c r="AD12" s="1">
        <f t="shared" si="6"/>
        <v>1.0503735093354551</v>
      </c>
      <c r="AE12" s="1">
        <f t="shared" si="7"/>
        <v>1.0536356885973097</v>
      </c>
      <c r="AF12" s="1">
        <f t="shared" si="8"/>
        <v>1.0562876618862422</v>
      </c>
      <c r="AG12" s="1">
        <f t="shared" si="9"/>
        <v>1.3693700380800857</v>
      </c>
      <c r="AH12" s="1">
        <f t="shared" si="10"/>
        <v>1.3992502797398048</v>
      </c>
      <c r="AI12" s="1">
        <f t="shared" si="11"/>
        <v>1.4522775580696159</v>
      </c>
      <c r="AJ12" s="1">
        <f t="shared" si="12"/>
        <v>2.1200628257918144</v>
      </c>
      <c r="AK12" s="1">
        <f t="shared" si="13"/>
        <v>2.1296570823396967</v>
      </c>
      <c r="AL12" s="1">
        <f t="shared" si="14"/>
        <v>2.1320078727046563</v>
      </c>
    </row>
    <row r="13" spans="2:39" x14ac:dyDescent="0.25">
      <c r="B13" s="22">
        <v>60</v>
      </c>
      <c r="C13" s="26">
        <v>40</v>
      </c>
      <c r="D13" s="4">
        <v>1.0618649397730591</v>
      </c>
      <c r="E13" s="4">
        <v>1.1448902664768379</v>
      </c>
      <c r="F13" s="4">
        <v>2.226642500968099</v>
      </c>
      <c r="G13" s="1">
        <v>1.0511127763151202</v>
      </c>
      <c r="H13" s="1">
        <v>1.0964959119538975</v>
      </c>
      <c r="I13" s="1">
        <v>2.1642855385678312</v>
      </c>
      <c r="J13" s="4">
        <v>1.0525138750350451</v>
      </c>
      <c r="K13" s="4">
        <v>1.0851185842631059</v>
      </c>
      <c r="L13" s="4">
        <v>2.1372244560778548</v>
      </c>
      <c r="M13" s="1">
        <v>1.0522330797579489</v>
      </c>
      <c r="N13" s="1">
        <v>1.1272634385191649</v>
      </c>
      <c r="O13" s="1">
        <v>2.0998054146758252</v>
      </c>
      <c r="P13" s="4">
        <v>1.0461845567409074</v>
      </c>
      <c r="Q13" s="4">
        <v>1.1052763515198463</v>
      </c>
      <c r="R13" s="4">
        <v>2.0731568704401351</v>
      </c>
      <c r="S13" s="1">
        <v>1.0458317749051904</v>
      </c>
      <c r="T13" s="1">
        <v>1.0767510119305082</v>
      </c>
      <c r="U13" s="1">
        <v>1.9606823735131127</v>
      </c>
      <c r="W13" s="1">
        <f t="shared" si="0"/>
        <v>1.0618649397730591</v>
      </c>
      <c r="X13" s="1">
        <f t="shared" si="1"/>
        <v>1.0511127763151202</v>
      </c>
      <c r="Y13" s="1">
        <f t="shared" si="2"/>
        <v>1.1448902664768379</v>
      </c>
      <c r="Z13" s="1">
        <f t="shared" si="3"/>
        <v>1.0964959119538975</v>
      </c>
      <c r="AA13" s="1">
        <f t="shared" si="4"/>
        <v>2.226642500968099</v>
      </c>
      <c r="AB13" s="1">
        <f t="shared" si="5"/>
        <v>2.1642855385678312</v>
      </c>
      <c r="AD13" s="1">
        <f t="shared" si="6"/>
        <v>1.0511127763151202</v>
      </c>
      <c r="AE13" s="1">
        <f t="shared" si="7"/>
        <v>1.0525138750350451</v>
      </c>
      <c r="AF13" s="1">
        <f t="shared" si="8"/>
        <v>1.0522330797579489</v>
      </c>
      <c r="AG13" s="1">
        <f t="shared" si="9"/>
        <v>1.0964959119538975</v>
      </c>
      <c r="AH13" s="1">
        <f t="shared" si="10"/>
        <v>1.0851185842631059</v>
      </c>
      <c r="AI13" s="1">
        <f t="shared" si="11"/>
        <v>1.1272634385191649</v>
      </c>
      <c r="AJ13" s="1">
        <f t="shared" si="12"/>
        <v>2.1642855385678312</v>
      </c>
      <c r="AK13" s="1">
        <f t="shared" si="13"/>
        <v>2.1372244560778548</v>
      </c>
      <c r="AL13" s="1">
        <f t="shared" si="14"/>
        <v>2.0998054146758252</v>
      </c>
    </row>
    <row r="14" spans="2:39" x14ac:dyDescent="0.25">
      <c r="B14" s="22">
        <v>70</v>
      </c>
      <c r="C14" s="26">
        <v>40</v>
      </c>
      <c r="D14" s="4">
        <v>1.0589379123658222</v>
      </c>
      <c r="E14" s="4">
        <v>0.87479506139653229</v>
      </c>
      <c r="F14" s="4">
        <v>2.237689457761423</v>
      </c>
      <c r="G14" s="1">
        <v>1.0475572265335269</v>
      </c>
      <c r="H14" s="1">
        <v>0.84062009170941154</v>
      </c>
      <c r="I14" s="1">
        <v>2.1774885136940401</v>
      </c>
      <c r="J14" s="4">
        <v>1.0478857193823967</v>
      </c>
      <c r="K14" s="4">
        <v>0.81340102691216765</v>
      </c>
      <c r="L14" s="4">
        <v>2.110431074948294</v>
      </c>
      <c r="M14" s="1">
        <v>1.0458369530373306</v>
      </c>
      <c r="N14" s="1">
        <v>0.87147940244376354</v>
      </c>
      <c r="O14" s="1">
        <v>2.0375062988290149</v>
      </c>
      <c r="P14" s="4">
        <v>1.0389559725402364</v>
      </c>
      <c r="Q14" s="4">
        <v>0.86998224061280705</v>
      </c>
      <c r="R14" s="4">
        <v>1.9691897528605697</v>
      </c>
      <c r="S14" s="1">
        <v>1.0375973926249358</v>
      </c>
      <c r="T14" s="1">
        <v>0.8668071401979891</v>
      </c>
      <c r="U14" s="1">
        <v>1.8710769559925073</v>
      </c>
      <c r="W14" s="1">
        <f t="shared" si="0"/>
        <v>1.0589379123658222</v>
      </c>
      <c r="X14" s="1">
        <f t="shared" si="1"/>
        <v>1.0475572265335269</v>
      </c>
      <c r="Y14" s="1">
        <f t="shared" si="2"/>
        <v>0.87479506139653229</v>
      </c>
      <c r="Z14" s="1">
        <f t="shared" si="3"/>
        <v>0.84062009170941154</v>
      </c>
      <c r="AA14" s="1">
        <f t="shared" si="4"/>
        <v>2.237689457761423</v>
      </c>
      <c r="AB14" s="1">
        <f t="shared" si="5"/>
        <v>2.1774885136940401</v>
      </c>
      <c r="AD14" s="1">
        <f t="shared" si="6"/>
        <v>1.0475572265335269</v>
      </c>
      <c r="AE14" s="1">
        <f t="shared" si="7"/>
        <v>1.0478857193823967</v>
      </c>
      <c r="AF14" s="1">
        <f t="shared" si="8"/>
        <v>1.0458369530373306</v>
      </c>
      <c r="AG14" s="1">
        <f t="shared" si="9"/>
        <v>0.84062009170941154</v>
      </c>
      <c r="AH14" s="1">
        <f t="shared" si="10"/>
        <v>0.81340102691216765</v>
      </c>
      <c r="AI14" s="1">
        <f t="shared" si="11"/>
        <v>0.87147940244376354</v>
      </c>
      <c r="AJ14" s="1">
        <f t="shared" si="12"/>
        <v>2.1774885136940401</v>
      </c>
      <c r="AK14" s="1">
        <f t="shared" si="13"/>
        <v>2.110431074948294</v>
      </c>
      <c r="AL14" s="1">
        <f t="shared" si="14"/>
        <v>2.0375062988290149</v>
      </c>
    </row>
    <row r="15" spans="2:39" x14ac:dyDescent="0.25">
      <c r="B15" s="23">
        <v>80</v>
      </c>
      <c r="C15" s="27">
        <v>40</v>
      </c>
      <c r="D15" s="4">
        <v>1.0539143912732976</v>
      </c>
      <c r="E15" s="4">
        <v>0.65871567774786666</v>
      </c>
      <c r="F15" s="4">
        <v>2.2029836258081246</v>
      </c>
      <c r="G15" s="1">
        <v>1.0428990586604063</v>
      </c>
      <c r="H15" s="1">
        <v>0.64398918147300632</v>
      </c>
      <c r="I15" s="1">
        <v>2.1487150402495616</v>
      </c>
      <c r="J15" s="4">
        <v>1.0423282428893774</v>
      </c>
      <c r="K15" s="4">
        <v>0.63360736674165996</v>
      </c>
      <c r="L15" s="4">
        <v>2.0633038781258475</v>
      </c>
      <c r="M15" s="1">
        <v>1.0405903755451447</v>
      </c>
      <c r="N15" s="1">
        <v>0.73321489350845792</v>
      </c>
      <c r="O15" s="1">
        <v>1.976672971478175</v>
      </c>
      <c r="P15" s="4">
        <v>1.0352673295714929</v>
      </c>
      <c r="Q15" s="4">
        <v>0.75033382509975932</v>
      </c>
      <c r="R15" s="4">
        <v>1.8882933794864876</v>
      </c>
      <c r="S15" s="1">
        <v>1.0412963730678084</v>
      </c>
      <c r="T15" s="1">
        <v>0.7631709942477487</v>
      </c>
      <c r="U15" s="1">
        <v>1.8375795153059802</v>
      </c>
      <c r="W15" s="1">
        <f t="shared" si="0"/>
        <v>1.0539143912732976</v>
      </c>
      <c r="X15" s="1">
        <f t="shared" si="1"/>
        <v>1.0428990586604063</v>
      </c>
      <c r="Y15" s="1">
        <f t="shared" si="2"/>
        <v>0.65871567774786666</v>
      </c>
      <c r="Z15" s="1">
        <f t="shared" si="3"/>
        <v>0.64398918147300632</v>
      </c>
      <c r="AA15" s="1">
        <f t="shared" si="4"/>
        <v>2.2029836258081246</v>
      </c>
      <c r="AB15" s="1">
        <f t="shared" si="5"/>
        <v>2.1487150402495616</v>
      </c>
      <c r="AD15" s="1">
        <f t="shared" si="6"/>
        <v>1.0428990586604063</v>
      </c>
      <c r="AE15" s="1">
        <f t="shared" si="7"/>
        <v>1.0423282428893774</v>
      </c>
      <c r="AF15" s="1">
        <f t="shared" si="8"/>
        <v>1.0405903755451447</v>
      </c>
      <c r="AG15" s="1">
        <f t="shared" si="9"/>
        <v>0.64398918147300632</v>
      </c>
      <c r="AH15" s="1">
        <f t="shared" si="10"/>
        <v>0.63360736674165996</v>
      </c>
      <c r="AI15" s="1">
        <f t="shared" si="11"/>
        <v>0.73321489350845792</v>
      </c>
      <c r="AJ15" s="1">
        <f t="shared" si="12"/>
        <v>2.1487150402495616</v>
      </c>
      <c r="AK15" s="1">
        <f t="shared" si="13"/>
        <v>2.0633038781258475</v>
      </c>
      <c r="AL15" s="1">
        <f t="shared" si="14"/>
        <v>1.976672971478175</v>
      </c>
    </row>
    <row r="16" spans="2:39" x14ac:dyDescent="0.25">
      <c r="B16" s="21">
        <v>30</v>
      </c>
      <c r="C16" s="25">
        <v>50</v>
      </c>
      <c r="D16" s="4">
        <v>1.0722025125104937</v>
      </c>
      <c r="E16" s="4">
        <v>2.0847558522588905</v>
      </c>
      <c r="F16" s="4">
        <v>2.1379307136910395</v>
      </c>
      <c r="G16" s="1">
        <v>1.0716378640892223</v>
      </c>
      <c r="H16" s="1">
        <v>2.141898647872539</v>
      </c>
      <c r="I16" s="1">
        <v>2.1448336982612632</v>
      </c>
      <c r="J16" s="4">
        <v>1.0777212457796004</v>
      </c>
      <c r="K16" s="4">
        <v>2.1538801347729608</v>
      </c>
      <c r="L16" s="4">
        <v>2.135133122930156</v>
      </c>
      <c r="M16" s="1">
        <v>1.076261378438006</v>
      </c>
      <c r="N16" s="1">
        <v>2.1047353386509289</v>
      </c>
      <c r="O16" s="1">
        <v>2.1157634545112645</v>
      </c>
      <c r="P16" s="4">
        <v>1.076535486135312</v>
      </c>
      <c r="Q16" s="4">
        <v>2.1455640993216565</v>
      </c>
      <c r="R16" s="4">
        <v>2.1974586240942697</v>
      </c>
      <c r="S16" s="1">
        <v>1.0804703943773042</v>
      </c>
      <c r="T16" s="1">
        <v>2.0532599329864882</v>
      </c>
      <c r="U16" s="1">
        <v>2.2457734417425517</v>
      </c>
      <c r="W16" s="1">
        <f t="shared" si="0"/>
        <v>1.0722025125104937</v>
      </c>
      <c r="X16" s="1">
        <f t="shared" si="1"/>
        <v>1.0716378640892223</v>
      </c>
      <c r="Y16" s="1">
        <f t="shared" si="2"/>
        <v>2.0847558522588905</v>
      </c>
      <c r="Z16" s="1">
        <f t="shared" si="3"/>
        <v>2.141898647872539</v>
      </c>
      <c r="AA16" s="1">
        <f t="shared" si="4"/>
        <v>2.1379307136910395</v>
      </c>
      <c r="AB16" s="1">
        <f t="shared" si="5"/>
        <v>2.1448336982612632</v>
      </c>
      <c r="AD16" s="1">
        <f t="shared" si="6"/>
        <v>1.0716378640892223</v>
      </c>
      <c r="AE16" s="1">
        <f t="shared" si="7"/>
        <v>1.0777212457796004</v>
      </c>
      <c r="AF16" s="1">
        <f t="shared" si="8"/>
        <v>1.076261378438006</v>
      </c>
      <c r="AG16" s="1">
        <f t="shared" si="9"/>
        <v>2.141898647872539</v>
      </c>
      <c r="AH16" s="1">
        <f t="shared" si="10"/>
        <v>2.1538801347729608</v>
      </c>
      <c r="AI16" s="1">
        <f t="shared" si="11"/>
        <v>2.1047353386509289</v>
      </c>
      <c r="AJ16" s="1">
        <f t="shared" si="12"/>
        <v>2.1448336982612632</v>
      </c>
      <c r="AK16" s="1">
        <f t="shared" si="13"/>
        <v>2.135133122930156</v>
      </c>
      <c r="AL16" s="1">
        <f t="shared" si="14"/>
        <v>2.1157634545112645</v>
      </c>
    </row>
    <row r="17" spans="2:38" x14ac:dyDescent="0.25">
      <c r="B17" s="22">
        <v>40</v>
      </c>
      <c r="C17" s="26">
        <v>50</v>
      </c>
      <c r="D17" s="4">
        <v>1.076094370852037</v>
      </c>
      <c r="E17" s="4">
        <v>1.8164214237073641</v>
      </c>
      <c r="F17" s="4">
        <v>2.1651594134251058</v>
      </c>
      <c r="G17" s="1">
        <v>1.070481836215029</v>
      </c>
      <c r="H17" s="1">
        <v>1.819130317084928</v>
      </c>
      <c r="I17" s="1">
        <v>2.1395045092084204</v>
      </c>
      <c r="J17" s="4">
        <v>1.0745079387563687</v>
      </c>
      <c r="K17" s="4">
        <v>1.8547924587876774</v>
      </c>
      <c r="L17" s="4">
        <v>2.1416161451537752</v>
      </c>
      <c r="M17" s="1">
        <v>1.0753891425553623</v>
      </c>
      <c r="N17" s="1">
        <v>1.865657732330666</v>
      </c>
      <c r="O17" s="1">
        <v>2.1410312224392056</v>
      </c>
      <c r="P17" s="4">
        <v>1.0735017419699764</v>
      </c>
      <c r="Q17" s="4">
        <v>1.8716532681687779</v>
      </c>
      <c r="R17" s="4">
        <v>2.1989765514153463</v>
      </c>
      <c r="S17" s="1">
        <v>1.0850087834495146</v>
      </c>
      <c r="T17" s="1">
        <v>1.8059986950178837</v>
      </c>
      <c r="U17" s="1">
        <v>2.2192774906312538</v>
      </c>
      <c r="W17" s="1">
        <f t="shared" si="0"/>
        <v>1.076094370852037</v>
      </c>
      <c r="X17" s="1">
        <f t="shared" si="1"/>
        <v>1.070481836215029</v>
      </c>
      <c r="Y17" s="1">
        <f t="shared" si="2"/>
        <v>1.8164214237073641</v>
      </c>
      <c r="Z17" s="1">
        <f t="shared" si="3"/>
        <v>1.819130317084928</v>
      </c>
      <c r="AA17" s="1">
        <f t="shared" si="4"/>
        <v>2.1651594134251058</v>
      </c>
      <c r="AB17" s="1">
        <f t="shared" si="5"/>
        <v>2.1395045092084204</v>
      </c>
      <c r="AD17" s="1">
        <f t="shared" si="6"/>
        <v>1.070481836215029</v>
      </c>
      <c r="AE17" s="1">
        <f t="shared" si="7"/>
        <v>1.0745079387563687</v>
      </c>
      <c r="AF17" s="1">
        <f t="shared" si="8"/>
        <v>1.0753891425553623</v>
      </c>
      <c r="AG17" s="1">
        <f t="shared" si="9"/>
        <v>1.819130317084928</v>
      </c>
      <c r="AH17" s="1">
        <f t="shared" si="10"/>
        <v>1.8547924587876774</v>
      </c>
      <c r="AI17" s="1">
        <f t="shared" si="11"/>
        <v>1.865657732330666</v>
      </c>
      <c r="AJ17" s="1">
        <f t="shared" si="12"/>
        <v>2.1395045092084204</v>
      </c>
      <c r="AK17" s="1">
        <f t="shared" si="13"/>
        <v>2.1416161451537752</v>
      </c>
      <c r="AL17" s="1">
        <f t="shared" si="14"/>
        <v>2.1410312224392056</v>
      </c>
    </row>
    <row r="18" spans="2:38" x14ac:dyDescent="0.25">
      <c r="B18" s="22">
        <v>50</v>
      </c>
      <c r="C18" s="26">
        <v>50</v>
      </c>
      <c r="D18" s="4">
        <v>1.0827199710338462</v>
      </c>
      <c r="E18" s="4">
        <v>1.554411542932099</v>
      </c>
      <c r="F18" s="4">
        <v>2.2239376645572526</v>
      </c>
      <c r="G18" s="1">
        <v>1.0730621761867611</v>
      </c>
      <c r="H18" s="1">
        <v>1.5183579758499153</v>
      </c>
      <c r="I18" s="1">
        <v>2.1723410743858294</v>
      </c>
      <c r="J18" s="4">
        <v>1.0745470861300372</v>
      </c>
      <c r="K18" s="4">
        <v>1.5330476006894422</v>
      </c>
      <c r="L18" s="4">
        <v>2.1644498750911176</v>
      </c>
      <c r="M18" s="1">
        <v>1.0740409532976272</v>
      </c>
      <c r="N18" s="1">
        <v>1.551036636418003</v>
      </c>
      <c r="O18" s="1">
        <v>2.1504171126188831</v>
      </c>
      <c r="P18" s="4">
        <v>1.0686254405756161</v>
      </c>
      <c r="Q18" s="4">
        <v>1.5334253760312451</v>
      </c>
      <c r="R18" s="4">
        <v>2.1618291809204915</v>
      </c>
      <c r="S18" s="1">
        <v>1.0790453283968542</v>
      </c>
      <c r="T18" s="1">
        <v>1.4922640951420527</v>
      </c>
      <c r="U18" s="1">
        <v>2.1360666093532856</v>
      </c>
      <c r="W18" s="1">
        <f t="shared" si="0"/>
        <v>1.0827199710338462</v>
      </c>
      <c r="X18" s="1">
        <f t="shared" si="1"/>
        <v>1.0730621761867611</v>
      </c>
      <c r="Y18" s="1">
        <f t="shared" si="2"/>
        <v>1.554411542932099</v>
      </c>
      <c r="Z18" s="1">
        <f t="shared" si="3"/>
        <v>1.5183579758499153</v>
      </c>
      <c r="AA18" s="1">
        <f t="shared" si="4"/>
        <v>2.2239376645572526</v>
      </c>
      <c r="AB18" s="1">
        <f t="shared" si="5"/>
        <v>2.1723410743858294</v>
      </c>
      <c r="AD18" s="1">
        <f t="shared" si="6"/>
        <v>1.0730621761867611</v>
      </c>
      <c r="AE18" s="1">
        <f t="shared" si="7"/>
        <v>1.0745470861300372</v>
      </c>
      <c r="AF18" s="1">
        <f>M18</f>
        <v>1.0740409532976272</v>
      </c>
      <c r="AG18" s="1">
        <f t="shared" si="9"/>
        <v>1.5183579758499153</v>
      </c>
      <c r="AH18" s="1">
        <f t="shared" si="10"/>
        <v>1.5330476006894422</v>
      </c>
      <c r="AI18" s="1">
        <f t="shared" si="11"/>
        <v>1.551036636418003</v>
      </c>
      <c r="AJ18" s="1">
        <f t="shared" si="12"/>
        <v>2.1723410743858294</v>
      </c>
      <c r="AK18" s="1">
        <f t="shared" si="13"/>
        <v>2.1644498750911176</v>
      </c>
      <c r="AL18" s="1">
        <f t="shared" si="14"/>
        <v>2.1504171126188831</v>
      </c>
    </row>
    <row r="19" spans="2:38" x14ac:dyDescent="0.25">
      <c r="B19" s="22">
        <v>60</v>
      </c>
      <c r="C19" s="26">
        <v>50</v>
      </c>
      <c r="D19" s="4">
        <v>1.0858893890362782</v>
      </c>
      <c r="E19" s="4">
        <v>1.2915402433056677</v>
      </c>
      <c r="F19" s="4">
        <v>2.2704856641180302</v>
      </c>
      <c r="G19" s="1">
        <v>1.0736895632803862</v>
      </c>
      <c r="H19" s="1">
        <v>1.2448043648170686</v>
      </c>
      <c r="I19" s="1">
        <v>2.20613644371356</v>
      </c>
      <c r="J19" s="4">
        <v>1.0735137152585414</v>
      </c>
      <c r="K19" s="4">
        <v>1.2217011846078534</v>
      </c>
      <c r="L19" s="4">
        <v>2.1685519581956911</v>
      </c>
      <c r="M19" s="1">
        <v>1.0700028802812576</v>
      </c>
      <c r="N19" s="1">
        <v>1.2302117293023931</v>
      </c>
      <c r="O19" s="1">
        <v>2.12274078116958</v>
      </c>
      <c r="P19" s="4">
        <v>1.061196601213227</v>
      </c>
      <c r="Q19" s="4">
        <v>1.210903730082344</v>
      </c>
      <c r="R19" s="4">
        <v>2.0801138212958072</v>
      </c>
      <c r="S19" s="1">
        <v>1.0668221066658283</v>
      </c>
      <c r="T19" s="1">
        <v>1.1944073527590602</v>
      </c>
      <c r="U19" s="1">
        <v>2.0319207256003446</v>
      </c>
      <c r="W19" s="1">
        <f t="shared" si="0"/>
        <v>1.0858893890362782</v>
      </c>
      <c r="X19" s="1">
        <f t="shared" si="1"/>
        <v>1.0736895632803862</v>
      </c>
      <c r="Y19" s="1">
        <f t="shared" si="2"/>
        <v>1.2915402433056677</v>
      </c>
      <c r="Z19" s="1">
        <f t="shared" si="3"/>
        <v>1.2448043648170686</v>
      </c>
      <c r="AA19" s="1">
        <f t="shared" si="4"/>
        <v>2.2704856641180302</v>
      </c>
      <c r="AB19" s="1">
        <f t="shared" si="5"/>
        <v>2.20613644371356</v>
      </c>
      <c r="AD19" s="1">
        <f t="shared" si="6"/>
        <v>1.0736895632803862</v>
      </c>
      <c r="AE19" s="1">
        <f t="shared" si="7"/>
        <v>1.0735137152585414</v>
      </c>
      <c r="AF19" s="1">
        <f t="shared" si="8"/>
        <v>1.0700028802812576</v>
      </c>
      <c r="AG19" s="1">
        <f t="shared" si="9"/>
        <v>1.2448043648170686</v>
      </c>
      <c r="AH19" s="1">
        <f t="shared" si="10"/>
        <v>1.2217011846078534</v>
      </c>
      <c r="AI19" s="1">
        <f t="shared" si="11"/>
        <v>1.2302117293023931</v>
      </c>
      <c r="AJ19" s="1">
        <f t="shared" si="12"/>
        <v>2.20613644371356</v>
      </c>
      <c r="AK19" s="1">
        <f t="shared" si="13"/>
        <v>2.1685519581956911</v>
      </c>
      <c r="AL19" s="1">
        <f t="shared" si="14"/>
        <v>2.12274078116958</v>
      </c>
    </row>
    <row r="20" spans="2:38" x14ac:dyDescent="0.25">
      <c r="B20" s="22">
        <v>70</v>
      </c>
      <c r="C20" s="26">
        <v>50</v>
      </c>
      <c r="D20" s="4">
        <v>1.081937575653479</v>
      </c>
      <c r="E20" s="4">
        <v>1.0070247459832156</v>
      </c>
      <c r="F20" s="4">
        <v>2.272316129004107</v>
      </c>
      <c r="G20" s="1">
        <v>1.0685786520901344</v>
      </c>
      <c r="H20" s="1">
        <v>0.9711563007892543</v>
      </c>
      <c r="I20" s="1">
        <v>2.2052257162060331</v>
      </c>
      <c r="J20" s="4">
        <v>1.067782526340235</v>
      </c>
      <c r="K20" s="4">
        <v>0.93370160182618411</v>
      </c>
      <c r="L20" s="4">
        <v>2.137791665615858</v>
      </c>
      <c r="M20" s="1">
        <v>1.0629671273894323</v>
      </c>
      <c r="N20" s="1">
        <v>0.96082263547394997</v>
      </c>
      <c r="O20" s="1">
        <v>2.0655158828857139</v>
      </c>
      <c r="P20" s="4">
        <v>1.0528896734550173</v>
      </c>
      <c r="Q20" s="4">
        <v>0.95451332971491265</v>
      </c>
      <c r="R20" s="4">
        <v>1.9795204506111546</v>
      </c>
      <c r="S20" s="1">
        <v>1.0585489619875208</v>
      </c>
      <c r="T20" s="1">
        <v>0.95923535407753291</v>
      </c>
      <c r="U20" s="1">
        <v>1.9492714712865653</v>
      </c>
      <c r="W20" s="1">
        <f t="shared" si="0"/>
        <v>1.081937575653479</v>
      </c>
      <c r="X20" s="1">
        <f t="shared" si="1"/>
        <v>1.0685786520901344</v>
      </c>
      <c r="Y20" s="1">
        <f t="shared" si="2"/>
        <v>1.0070247459832156</v>
      </c>
      <c r="Z20" s="1">
        <f t="shared" si="3"/>
        <v>0.9711563007892543</v>
      </c>
      <c r="AA20" s="1">
        <f t="shared" si="4"/>
        <v>2.272316129004107</v>
      </c>
      <c r="AB20" s="1">
        <f t="shared" si="5"/>
        <v>2.2052257162060331</v>
      </c>
      <c r="AD20" s="1">
        <f t="shared" si="6"/>
        <v>1.0685786520901344</v>
      </c>
      <c r="AE20" s="1">
        <f t="shared" si="7"/>
        <v>1.067782526340235</v>
      </c>
      <c r="AF20" s="1">
        <f t="shared" si="8"/>
        <v>1.0629671273894323</v>
      </c>
      <c r="AG20" s="1">
        <f t="shared" si="9"/>
        <v>0.9711563007892543</v>
      </c>
      <c r="AH20" s="1">
        <f t="shared" si="10"/>
        <v>0.93370160182618411</v>
      </c>
      <c r="AI20" s="1">
        <f t="shared" si="11"/>
        <v>0.96082263547394997</v>
      </c>
      <c r="AJ20" s="1">
        <f t="shared" si="12"/>
        <v>2.2052257162060331</v>
      </c>
      <c r="AK20" s="1">
        <f t="shared" si="13"/>
        <v>2.137791665615858</v>
      </c>
      <c r="AL20" s="1">
        <f t="shared" si="14"/>
        <v>2.0655158828857139</v>
      </c>
    </row>
    <row r="21" spans="2:38" x14ac:dyDescent="0.25">
      <c r="B21" s="23">
        <v>80</v>
      </c>
      <c r="C21" s="27">
        <v>50</v>
      </c>
      <c r="D21" s="4">
        <v>1.0737782402066403</v>
      </c>
      <c r="E21" s="4">
        <v>0.7456526106044612</v>
      </c>
      <c r="F21" s="4">
        <v>2.2351093567829072</v>
      </c>
      <c r="G21" s="1">
        <v>1.0607063966831007</v>
      </c>
      <c r="H21" s="1">
        <v>0.72648133236715373</v>
      </c>
      <c r="I21" s="1">
        <v>2.1694965651302276</v>
      </c>
      <c r="J21" s="4">
        <v>1.0597215621942422</v>
      </c>
      <c r="K21" s="4">
        <v>0.70981140851134805</v>
      </c>
      <c r="L21" s="4">
        <v>2.0928570623033074</v>
      </c>
      <c r="M21" s="1">
        <v>1.0563074979406348</v>
      </c>
      <c r="N21" s="1">
        <v>0.78653595207937421</v>
      </c>
      <c r="O21" s="1">
        <v>2.0119001854122365</v>
      </c>
      <c r="P21" s="4">
        <v>1.0478277668247971</v>
      </c>
      <c r="Q21" s="4">
        <v>0.79308277316162501</v>
      </c>
      <c r="R21" s="4">
        <v>1.9049108007553857</v>
      </c>
      <c r="S21" s="1">
        <v>1.06018379534576</v>
      </c>
      <c r="T21" s="1">
        <v>0.81156046173509999</v>
      </c>
      <c r="U21" s="1">
        <v>1.9079421991170014</v>
      </c>
      <c r="W21" s="1">
        <f t="shared" si="0"/>
        <v>1.0737782402066403</v>
      </c>
      <c r="X21" s="1">
        <f t="shared" si="1"/>
        <v>1.0607063966831007</v>
      </c>
      <c r="Y21" s="1">
        <f t="shared" si="2"/>
        <v>0.7456526106044612</v>
      </c>
      <c r="Z21" s="1">
        <f t="shared" si="3"/>
        <v>0.72648133236715373</v>
      </c>
      <c r="AA21" s="1">
        <f t="shared" si="4"/>
        <v>2.2351093567829072</v>
      </c>
      <c r="AB21" s="1">
        <f t="shared" si="5"/>
        <v>2.1694965651302276</v>
      </c>
      <c r="AD21" s="1">
        <f t="shared" si="6"/>
        <v>1.0607063966831007</v>
      </c>
      <c r="AE21" s="1">
        <f t="shared" si="7"/>
        <v>1.0597215621942422</v>
      </c>
      <c r="AF21" s="1">
        <f t="shared" si="8"/>
        <v>1.0563074979406348</v>
      </c>
      <c r="AG21" s="1">
        <f t="shared" si="9"/>
        <v>0.72648133236715373</v>
      </c>
      <c r="AH21" s="1">
        <f t="shared" si="10"/>
        <v>0.70981140851134805</v>
      </c>
      <c r="AI21" s="1">
        <f t="shared" si="11"/>
        <v>0.78653595207937421</v>
      </c>
      <c r="AJ21" s="1">
        <f t="shared" si="12"/>
        <v>2.1694965651302276</v>
      </c>
      <c r="AK21" s="1">
        <f t="shared" si="13"/>
        <v>2.0928570623033074</v>
      </c>
      <c r="AL21" s="1">
        <f t="shared" si="14"/>
        <v>2.0119001854122365</v>
      </c>
    </row>
    <row r="22" spans="2:38" x14ac:dyDescent="0.25">
      <c r="B22" s="21">
        <v>30</v>
      </c>
      <c r="C22" s="25">
        <v>60</v>
      </c>
      <c r="D22" s="4">
        <v>1.0975615636993075</v>
      </c>
      <c r="E22" s="4">
        <v>2.2219646137145581</v>
      </c>
      <c r="F22" s="4">
        <v>2.190573189620137</v>
      </c>
      <c r="G22" s="1">
        <v>1.0952398797505292</v>
      </c>
      <c r="H22" s="1">
        <v>2.2899134339544731</v>
      </c>
      <c r="I22" s="1">
        <v>2.1955139734674178</v>
      </c>
      <c r="J22" s="4">
        <v>1.0997209995292854</v>
      </c>
      <c r="K22" s="4">
        <v>2.2714999686651565</v>
      </c>
      <c r="L22" s="4">
        <v>2.1657643863494558</v>
      </c>
      <c r="M22" s="1">
        <v>1.0945305326369394</v>
      </c>
      <c r="N22" s="1">
        <v>2.1799833221336096</v>
      </c>
      <c r="O22" s="1">
        <v>2.1131415565242735</v>
      </c>
      <c r="P22" s="4">
        <v>1.0908410142734846</v>
      </c>
      <c r="Q22" s="4">
        <v>2.2288130872781369</v>
      </c>
      <c r="R22" s="4">
        <v>2.1653575921906558</v>
      </c>
      <c r="S22" s="1">
        <v>1.0921497612403681</v>
      </c>
      <c r="T22" s="1">
        <v>2.1908223428184241</v>
      </c>
      <c r="U22" s="1">
        <v>2.1948764919580426</v>
      </c>
      <c r="W22" s="1">
        <f t="shared" si="0"/>
        <v>1.0975615636993075</v>
      </c>
      <c r="X22" s="1">
        <f t="shared" si="1"/>
        <v>1.0952398797505292</v>
      </c>
      <c r="Y22" s="1">
        <f t="shared" si="2"/>
        <v>2.2219646137145581</v>
      </c>
      <c r="Z22" s="1">
        <f t="shared" si="3"/>
        <v>2.2899134339544731</v>
      </c>
      <c r="AA22" s="1">
        <f t="shared" si="4"/>
        <v>2.190573189620137</v>
      </c>
      <c r="AB22" s="1">
        <f t="shared" si="5"/>
        <v>2.1955139734674178</v>
      </c>
      <c r="AD22" s="1">
        <f t="shared" si="6"/>
        <v>1.0952398797505292</v>
      </c>
      <c r="AE22" s="1">
        <f t="shared" si="7"/>
        <v>1.0997209995292854</v>
      </c>
      <c r="AF22" s="1">
        <f t="shared" si="8"/>
        <v>1.0945305326369394</v>
      </c>
      <c r="AG22" s="1">
        <f t="shared" si="9"/>
        <v>2.2899134339544731</v>
      </c>
      <c r="AH22" s="1">
        <f t="shared" si="10"/>
        <v>2.2714999686651565</v>
      </c>
      <c r="AI22" s="1">
        <f t="shared" si="11"/>
        <v>2.1799833221336096</v>
      </c>
      <c r="AJ22" s="1">
        <f t="shared" si="12"/>
        <v>2.1955139734674178</v>
      </c>
      <c r="AK22" s="1">
        <f t="shared" si="13"/>
        <v>2.1657643863494558</v>
      </c>
      <c r="AL22" s="1">
        <f t="shared" si="14"/>
        <v>2.1131415565242735</v>
      </c>
    </row>
    <row r="23" spans="2:38" x14ac:dyDescent="0.25">
      <c r="B23" s="22">
        <v>40</v>
      </c>
      <c r="C23" s="26">
        <v>60</v>
      </c>
      <c r="D23" s="4">
        <v>1.098797540667644</v>
      </c>
      <c r="E23" s="4">
        <v>1.9523195633477728</v>
      </c>
      <c r="F23" s="4">
        <v>2.2198932884917708</v>
      </c>
      <c r="G23" s="1">
        <v>1.0920824230543509</v>
      </c>
      <c r="H23" s="1">
        <v>1.9664530263702273</v>
      </c>
      <c r="I23" s="1">
        <v>2.1972457836921944</v>
      </c>
      <c r="J23" s="4">
        <v>1.0955953750315626</v>
      </c>
      <c r="K23" s="4">
        <v>1.9812160453279981</v>
      </c>
      <c r="L23" s="4">
        <v>2.1781689629661876</v>
      </c>
      <c r="M23" s="1">
        <v>1.0941358927087088</v>
      </c>
      <c r="N23" s="1">
        <v>1.9564586299959141</v>
      </c>
      <c r="O23" s="1">
        <v>2.1419917702692897</v>
      </c>
      <c r="P23" s="4">
        <v>1.088685746666548</v>
      </c>
      <c r="Q23" s="4">
        <v>1.9690247296161298</v>
      </c>
      <c r="R23" s="4">
        <v>2.171827783931767</v>
      </c>
      <c r="S23" s="1">
        <v>1.0976008466890625</v>
      </c>
      <c r="T23" s="1">
        <v>1.941259775766464</v>
      </c>
      <c r="U23" s="1">
        <v>2.1864474305211101</v>
      </c>
      <c r="W23" s="1">
        <f t="shared" si="0"/>
        <v>1.098797540667644</v>
      </c>
      <c r="X23" s="1">
        <f t="shared" si="1"/>
        <v>1.0920824230543509</v>
      </c>
      <c r="Y23" s="1">
        <f t="shared" si="2"/>
        <v>1.9523195633477728</v>
      </c>
      <c r="Z23" s="1">
        <f t="shared" si="3"/>
        <v>1.9664530263702273</v>
      </c>
      <c r="AA23" s="1">
        <f t="shared" si="4"/>
        <v>2.2198932884917708</v>
      </c>
      <c r="AB23" s="1">
        <f t="shared" si="5"/>
        <v>2.1972457836921944</v>
      </c>
      <c r="AD23" s="1">
        <f t="shared" si="6"/>
        <v>1.0920824230543509</v>
      </c>
      <c r="AE23" s="1">
        <f t="shared" si="7"/>
        <v>1.0955953750315626</v>
      </c>
      <c r="AF23" s="1">
        <f t="shared" si="8"/>
        <v>1.0941358927087088</v>
      </c>
      <c r="AG23" s="1">
        <f t="shared" si="9"/>
        <v>1.9664530263702273</v>
      </c>
      <c r="AH23" s="1">
        <f t="shared" si="10"/>
        <v>1.9812160453279981</v>
      </c>
      <c r="AI23" s="1">
        <f t="shared" si="11"/>
        <v>1.9564586299959141</v>
      </c>
      <c r="AJ23" s="1">
        <f t="shared" si="12"/>
        <v>2.1972457836921944</v>
      </c>
      <c r="AK23" s="1">
        <f t="shared" si="13"/>
        <v>2.1781689629661876</v>
      </c>
      <c r="AL23" s="1">
        <f t="shared" si="14"/>
        <v>2.1419917702692897</v>
      </c>
    </row>
    <row r="24" spans="2:38" x14ac:dyDescent="0.25">
      <c r="B24" s="22">
        <v>50</v>
      </c>
      <c r="C24" s="26">
        <v>60</v>
      </c>
      <c r="D24" s="4">
        <v>1.1038456261143155</v>
      </c>
      <c r="E24" s="4">
        <v>1.6898910611837619</v>
      </c>
      <c r="F24" s="4">
        <v>2.2770241054216855</v>
      </c>
      <c r="G24" s="1">
        <v>1.093617959161773</v>
      </c>
      <c r="H24" s="1">
        <v>1.6637893531250556</v>
      </c>
      <c r="I24" s="1">
        <v>2.2310645661671691</v>
      </c>
      <c r="J24" s="4">
        <v>1.0949884757125041</v>
      </c>
      <c r="K24" s="4">
        <v>1.6696603676834627</v>
      </c>
      <c r="L24" s="4">
        <v>2.206954402144925</v>
      </c>
      <c r="M24" s="1">
        <v>1.0928008081581126</v>
      </c>
      <c r="N24" s="1">
        <v>1.6621520773878133</v>
      </c>
      <c r="O24" s="1">
        <v>2.1617670972889309</v>
      </c>
      <c r="P24" s="4">
        <v>1.0840778518560112</v>
      </c>
      <c r="Q24" s="4">
        <v>1.6477297275125797</v>
      </c>
      <c r="R24" s="4">
        <v>2.1493776292495794</v>
      </c>
      <c r="S24" s="1">
        <v>1.0938576410283096</v>
      </c>
      <c r="T24" s="1">
        <v>1.6221068642088943</v>
      </c>
      <c r="U24" s="1">
        <v>2.1395054428335478</v>
      </c>
      <c r="W24" s="1">
        <f t="shared" si="0"/>
        <v>1.1038456261143155</v>
      </c>
      <c r="X24" s="1">
        <f t="shared" si="1"/>
        <v>1.093617959161773</v>
      </c>
      <c r="Y24" s="1">
        <f t="shared" si="2"/>
        <v>1.6898910611837619</v>
      </c>
      <c r="Z24" s="1">
        <f t="shared" si="3"/>
        <v>1.6637893531250556</v>
      </c>
      <c r="AA24" s="1">
        <f t="shared" si="4"/>
        <v>2.2770241054216855</v>
      </c>
      <c r="AB24" s="1">
        <f t="shared" si="5"/>
        <v>2.2310645661671691</v>
      </c>
      <c r="AD24" s="1">
        <f t="shared" si="6"/>
        <v>1.093617959161773</v>
      </c>
      <c r="AE24" s="1">
        <f t="shared" si="7"/>
        <v>1.0949884757125041</v>
      </c>
      <c r="AF24" s="1">
        <f t="shared" si="8"/>
        <v>1.0928008081581126</v>
      </c>
      <c r="AG24" s="1">
        <f t="shared" si="9"/>
        <v>1.6637893531250556</v>
      </c>
      <c r="AH24" s="1">
        <f t="shared" si="10"/>
        <v>1.6696603676834627</v>
      </c>
      <c r="AI24" s="1">
        <f>N24</f>
        <v>1.6621520773878133</v>
      </c>
      <c r="AJ24" s="1">
        <f t="shared" si="12"/>
        <v>2.2310645661671691</v>
      </c>
      <c r="AK24" s="1">
        <f t="shared" si="13"/>
        <v>2.206954402144925</v>
      </c>
      <c r="AL24" s="1">
        <f t="shared" si="14"/>
        <v>2.1617670972889309</v>
      </c>
    </row>
    <row r="25" spans="2:38" x14ac:dyDescent="0.25">
      <c r="B25" s="22">
        <v>60</v>
      </c>
      <c r="C25" s="26">
        <v>60</v>
      </c>
      <c r="D25" s="4">
        <v>1.1069769079138576</v>
      </c>
      <c r="E25" s="4">
        <v>1.4332972160561814</v>
      </c>
      <c r="F25" s="4">
        <v>2.3167534136612908</v>
      </c>
      <c r="G25" s="1">
        <v>1.0943240862975117</v>
      </c>
      <c r="H25" s="1">
        <v>1.3937433468489131</v>
      </c>
      <c r="I25" s="1">
        <v>2.2564631624068379</v>
      </c>
      <c r="J25" s="4">
        <v>1.0939146044965573</v>
      </c>
      <c r="K25" s="4">
        <v>1.3687803332824102</v>
      </c>
      <c r="L25" s="4">
        <v>2.2137204605934993</v>
      </c>
      <c r="M25" s="1">
        <v>1.088812182334731</v>
      </c>
      <c r="N25" s="1">
        <v>1.3574697249338934</v>
      </c>
      <c r="O25" s="1">
        <v>2.1475597086988252</v>
      </c>
      <c r="P25" s="4">
        <v>1.0764849008826225</v>
      </c>
      <c r="Q25" s="4">
        <v>1.3362104282684457</v>
      </c>
      <c r="R25" s="4">
        <v>2.0858848513325681</v>
      </c>
      <c r="S25" s="1">
        <v>1.0842287349147131</v>
      </c>
      <c r="T25" s="1">
        <v>1.3176158063207875</v>
      </c>
      <c r="U25" s="1">
        <v>2.0726210624829555</v>
      </c>
      <c r="W25" s="1">
        <f t="shared" si="0"/>
        <v>1.1069769079138576</v>
      </c>
      <c r="X25" s="1">
        <f t="shared" si="1"/>
        <v>1.0943240862975117</v>
      </c>
      <c r="Y25" s="1">
        <f t="shared" si="2"/>
        <v>1.4332972160561814</v>
      </c>
      <c r="Z25" s="1">
        <f t="shared" si="3"/>
        <v>1.3937433468489131</v>
      </c>
      <c r="AA25" s="1">
        <f t="shared" si="4"/>
        <v>2.3167534136612908</v>
      </c>
      <c r="AB25" s="1">
        <f t="shared" si="5"/>
        <v>2.2564631624068379</v>
      </c>
      <c r="AD25" s="1">
        <f t="shared" si="6"/>
        <v>1.0943240862975117</v>
      </c>
      <c r="AE25" s="1">
        <f t="shared" si="7"/>
        <v>1.0939146044965573</v>
      </c>
      <c r="AF25" s="1">
        <f t="shared" si="8"/>
        <v>1.088812182334731</v>
      </c>
      <c r="AG25" s="1">
        <f t="shared" si="9"/>
        <v>1.3937433468489131</v>
      </c>
      <c r="AH25" s="1">
        <f t="shared" si="10"/>
        <v>1.3687803332824102</v>
      </c>
      <c r="AI25" s="1">
        <f t="shared" si="11"/>
        <v>1.3574697249338934</v>
      </c>
      <c r="AJ25" s="1">
        <f t="shared" si="12"/>
        <v>2.2564631624068379</v>
      </c>
      <c r="AK25" s="1">
        <f t="shared" si="13"/>
        <v>2.2137204605934993</v>
      </c>
      <c r="AL25" s="1">
        <f t="shared" si="14"/>
        <v>2.1475597086988252</v>
      </c>
    </row>
    <row r="26" spans="2:38" x14ac:dyDescent="0.25">
      <c r="B26" s="22">
        <v>70</v>
      </c>
      <c r="C26" s="26">
        <v>60</v>
      </c>
      <c r="D26" s="4">
        <v>1.1030719132319349</v>
      </c>
      <c r="E26" s="4">
        <v>1.1467690063985529</v>
      </c>
      <c r="F26" s="4">
        <v>2.3117664655364769</v>
      </c>
      <c r="G26" s="1">
        <v>1.0891430596443388</v>
      </c>
      <c r="H26" s="1">
        <v>1.1142807893570441</v>
      </c>
      <c r="I26" s="1">
        <v>2.2440502031835483</v>
      </c>
      <c r="J26" s="4">
        <v>1.0880241863847364</v>
      </c>
      <c r="K26" s="4">
        <v>1.0758011114596944</v>
      </c>
      <c r="L26" s="4">
        <v>2.1845025064168193</v>
      </c>
      <c r="M26" s="1">
        <v>1.0817546401541984</v>
      </c>
      <c r="N26" s="1">
        <v>1.0835004552696481</v>
      </c>
      <c r="O26" s="1">
        <v>2.1037681864681832</v>
      </c>
      <c r="P26" s="4">
        <v>1.0677614589588591</v>
      </c>
      <c r="Q26" s="4">
        <v>1.0690309435792875</v>
      </c>
      <c r="R26" s="4">
        <v>2.00208255725307</v>
      </c>
      <c r="S26" s="1">
        <v>1.0771442675305354</v>
      </c>
      <c r="T26" s="1">
        <v>1.0631526243659726</v>
      </c>
      <c r="U26" s="1">
        <v>2.0111251119907427</v>
      </c>
      <c r="W26" s="1">
        <f t="shared" si="0"/>
        <v>1.1030719132319349</v>
      </c>
      <c r="X26" s="1">
        <f t="shared" si="1"/>
        <v>1.0891430596443388</v>
      </c>
      <c r="Y26" s="1">
        <f t="shared" si="2"/>
        <v>1.1467690063985529</v>
      </c>
      <c r="Z26" s="1">
        <f t="shared" si="3"/>
        <v>1.1142807893570441</v>
      </c>
      <c r="AA26" s="1">
        <f t="shared" si="4"/>
        <v>2.3117664655364769</v>
      </c>
      <c r="AB26" s="1">
        <f t="shared" si="5"/>
        <v>2.2440502031835483</v>
      </c>
      <c r="AD26" s="1">
        <f t="shared" si="6"/>
        <v>1.0891430596443388</v>
      </c>
      <c r="AE26" s="1">
        <f t="shared" si="7"/>
        <v>1.0880241863847364</v>
      </c>
      <c r="AF26" s="1">
        <f t="shared" si="8"/>
        <v>1.0817546401541984</v>
      </c>
      <c r="AG26" s="1">
        <f t="shared" si="9"/>
        <v>1.1142807893570441</v>
      </c>
      <c r="AH26" s="1">
        <f t="shared" si="10"/>
        <v>1.0758011114596944</v>
      </c>
      <c r="AI26" s="1">
        <f t="shared" si="11"/>
        <v>1.0835004552696481</v>
      </c>
      <c r="AJ26" s="1">
        <f t="shared" si="12"/>
        <v>2.2440502031835483</v>
      </c>
      <c r="AK26" s="1">
        <f t="shared" si="13"/>
        <v>2.1845025064168193</v>
      </c>
      <c r="AL26" s="1">
        <f t="shared" si="14"/>
        <v>2.1037681864681832</v>
      </c>
    </row>
    <row r="27" spans="2:38" x14ac:dyDescent="0.25">
      <c r="B27" s="23">
        <v>80</v>
      </c>
      <c r="C27" s="27">
        <v>60</v>
      </c>
      <c r="D27" s="4">
        <v>1.0935207472943587</v>
      </c>
      <c r="E27" s="4">
        <v>0.85818825430721057</v>
      </c>
      <c r="F27" s="4">
        <v>2.2744157456184242</v>
      </c>
      <c r="G27" s="1">
        <v>1.0799026444730375</v>
      </c>
      <c r="H27" s="1">
        <v>0.83766522317042269</v>
      </c>
      <c r="I27" s="1">
        <v>2.2033945912333568</v>
      </c>
      <c r="J27" s="4">
        <v>1.07881374825301</v>
      </c>
      <c r="K27" s="4">
        <v>0.81964161098985455</v>
      </c>
      <c r="L27" s="4">
        <v>2.1441277313374751</v>
      </c>
      <c r="M27" s="1">
        <v>1.074403660448112</v>
      </c>
      <c r="N27" s="1">
        <v>0.87744571397159099</v>
      </c>
      <c r="O27" s="1">
        <v>2.0616817159622762</v>
      </c>
      <c r="P27" s="4">
        <v>1.0620099026110947</v>
      </c>
      <c r="Q27" s="4">
        <v>0.8701790611114153</v>
      </c>
      <c r="R27" s="4">
        <v>1.9408692977650599</v>
      </c>
      <c r="S27" s="1">
        <v>1.0775409320561173</v>
      </c>
      <c r="T27" s="1">
        <v>0.87599147608437278</v>
      </c>
      <c r="U27" s="1">
        <v>1.9699657527137644</v>
      </c>
      <c r="W27" s="1">
        <f t="shared" si="0"/>
        <v>1.0935207472943587</v>
      </c>
      <c r="X27" s="1">
        <f t="shared" si="1"/>
        <v>1.0799026444730375</v>
      </c>
      <c r="Y27" s="1">
        <f t="shared" si="2"/>
        <v>0.85818825430721057</v>
      </c>
      <c r="Z27" s="1">
        <f t="shared" si="3"/>
        <v>0.83766522317042269</v>
      </c>
      <c r="AA27" s="1">
        <f t="shared" si="4"/>
        <v>2.2744157456184242</v>
      </c>
      <c r="AB27" s="1">
        <f t="shared" si="5"/>
        <v>2.2033945912333568</v>
      </c>
      <c r="AD27" s="1">
        <f t="shared" si="6"/>
        <v>1.0799026444730375</v>
      </c>
      <c r="AE27" s="1">
        <f t="shared" si="7"/>
        <v>1.07881374825301</v>
      </c>
      <c r="AF27" s="1">
        <f t="shared" si="8"/>
        <v>1.074403660448112</v>
      </c>
      <c r="AG27" s="1">
        <f t="shared" si="9"/>
        <v>0.83766522317042269</v>
      </c>
      <c r="AH27" s="1">
        <f t="shared" si="10"/>
        <v>0.81964161098985455</v>
      </c>
      <c r="AI27" s="1">
        <f t="shared" si="11"/>
        <v>0.87744571397159099</v>
      </c>
      <c r="AJ27" s="1">
        <f t="shared" si="12"/>
        <v>2.2033945912333568</v>
      </c>
      <c r="AK27" s="1">
        <f t="shared" si="13"/>
        <v>2.1441277313374751</v>
      </c>
      <c r="AL27" s="1">
        <f t="shared" si="14"/>
        <v>2.0616817159622762</v>
      </c>
    </row>
    <row r="28" spans="2:38" x14ac:dyDescent="0.25">
      <c r="B28" s="21">
        <v>30</v>
      </c>
      <c r="C28" s="25">
        <v>70</v>
      </c>
      <c r="D28" s="4">
        <v>1.1218513651959361</v>
      </c>
      <c r="E28" s="4">
        <v>2.350354884143639</v>
      </c>
      <c r="F28" s="4">
        <v>2.2284247975217468</v>
      </c>
      <c r="G28" s="1">
        <v>1.1170762825885832</v>
      </c>
      <c r="H28" s="1">
        <v>2.4157299254962648</v>
      </c>
      <c r="I28" s="1">
        <v>2.2301385342223394</v>
      </c>
      <c r="J28" s="4">
        <v>1.1207524025055415</v>
      </c>
      <c r="K28" s="4">
        <v>2.3722345484965657</v>
      </c>
      <c r="L28" s="4">
        <v>2.1798048217813353</v>
      </c>
      <c r="M28" s="1">
        <v>1.1123959568506132</v>
      </c>
      <c r="N28" s="1">
        <v>2.2432628979922962</v>
      </c>
      <c r="O28" s="1">
        <v>2.0871909909391921</v>
      </c>
      <c r="P28" s="4">
        <v>1.1043644907385988</v>
      </c>
      <c r="Q28" s="4">
        <v>2.2807044082368573</v>
      </c>
      <c r="R28" s="4">
        <v>2.102011159222088</v>
      </c>
      <c r="S28" s="1">
        <v>1.1008340794075433</v>
      </c>
      <c r="T28" s="1">
        <v>2.3030729788351909</v>
      </c>
      <c r="U28" s="1">
        <v>2.0963025845387602</v>
      </c>
      <c r="W28" s="1">
        <f t="shared" si="0"/>
        <v>1.1218513651959361</v>
      </c>
      <c r="X28" s="1">
        <f t="shared" si="1"/>
        <v>1.1170762825885832</v>
      </c>
      <c r="Y28" s="1">
        <f t="shared" si="2"/>
        <v>2.350354884143639</v>
      </c>
      <c r="Z28" s="1">
        <f t="shared" si="3"/>
        <v>2.4157299254962648</v>
      </c>
      <c r="AA28" s="1">
        <f t="shared" si="4"/>
        <v>2.2284247975217468</v>
      </c>
      <c r="AB28" s="1">
        <f t="shared" si="5"/>
        <v>2.2301385342223394</v>
      </c>
      <c r="AD28" s="1">
        <f t="shared" si="6"/>
        <v>1.1170762825885832</v>
      </c>
      <c r="AE28" s="1">
        <f t="shared" si="7"/>
        <v>1.1207524025055415</v>
      </c>
      <c r="AF28" s="1">
        <f t="shared" si="8"/>
        <v>1.1123959568506132</v>
      </c>
      <c r="AG28" s="1">
        <f t="shared" si="9"/>
        <v>2.4157299254962648</v>
      </c>
      <c r="AH28" s="1">
        <f t="shared" si="10"/>
        <v>2.3722345484965657</v>
      </c>
      <c r="AI28" s="1">
        <f t="shared" si="11"/>
        <v>2.2432628979922962</v>
      </c>
      <c r="AJ28" s="1">
        <f t="shared" si="12"/>
        <v>2.2301385342223394</v>
      </c>
      <c r="AK28" s="1">
        <f t="shared" si="13"/>
        <v>2.1798048217813353</v>
      </c>
      <c r="AL28" s="1">
        <f t="shared" si="14"/>
        <v>2.0871909909391921</v>
      </c>
    </row>
    <row r="29" spans="2:38" x14ac:dyDescent="0.25">
      <c r="B29" s="22">
        <v>40</v>
      </c>
      <c r="C29" s="26">
        <v>70</v>
      </c>
      <c r="D29" s="4">
        <v>1.1194877727390988</v>
      </c>
      <c r="E29" s="4">
        <v>2.0824064855867017</v>
      </c>
      <c r="F29" s="4">
        <v>2.2589520334864717</v>
      </c>
      <c r="G29" s="1">
        <v>1.1114511080955771</v>
      </c>
      <c r="H29" s="1">
        <v>2.1021540550060838</v>
      </c>
      <c r="I29" s="1">
        <v>2.2392806637492035</v>
      </c>
      <c r="J29" s="4">
        <v>1.1154713055180874</v>
      </c>
      <c r="K29" s="4">
        <v>2.0985503325741859</v>
      </c>
      <c r="L29" s="4">
        <v>2.1991322343483204</v>
      </c>
      <c r="M29" s="1">
        <v>1.1124749214305454</v>
      </c>
      <c r="N29" s="1">
        <v>2.0427809700471178</v>
      </c>
      <c r="O29" s="1">
        <v>2.1188963106658871</v>
      </c>
      <c r="P29" s="4">
        <v>1.1032683537818759</v>
      </c>
      <c r="Q29" s="4">
        <v>2.046361173761706</v>
      </c>
      <c r="R29" s="4">
        <v>2.1156477997979395</v>
      </c>
      <c r="S29" s="1">
        <v>1.106524740344079</v>
      </c>
      <c r="T29" s="1">
        <v>2.0564275374965924</v>
      </c>
      <c r="U29" s="1">
        <v>2.1055177490172401</v>
      </c>
      <c r="W29" s="1">
        <f t="shared" si="0"/>
        <v>1.1194877727390988</v>
      </c>
      <c r="X29" s="1">
        <f t="shared" si="1"/>
        <v>1.1114511080955771</v>
      </c>
      <c r="Y29" s="1">
        <f t="shared" si="2"/>
        <v>2.0824064855867017</v>
      </c>
      <c r="Z29" s="1">
        <f t="shared" si="3"/>
        <v>2.1021540550060838</v>
      </c>
      <c r="AA29" s="1">
        <f t="shared" si="4"/>
        <v>2.2589520334864717</v>
      </c>
      <c r="AB29" s="1">
        <f t="shared" si="5"/>
        <v>2.2392806637492035</v>
      </c>
      <c r="AD29" s="1">
        <f t="shared" si="6"/>
        <v>1.1114511080955771</v>
      </c>
      <c r="AE29" s="1">
        <f t="shared" si="7"/>
        <v>1.1154713055180874</v>
      </c>
      <c r="AF29" s="1">
        <f t="shared" si="8"/>
        <v>1.1124749214305454</v>
      </c>
      <c r="AG29" s="1">
        <f t="shared" si="9"/>
        <v>2.1021540550060838</v>
      </c>
      <c r="AH29" s="1">
        <f t="shared" si="10"/>
        <v>2.0985503325741859</v>
      </c>
      <c r="AI29" s="1">
        <f t="shared" si="11"/>
        <v>2.0427809700471178</v>
      </c>
      <c r="AJ29" s="1">
        <f t="shared" si="12"/>
        <v>2.2392806637492035</v>
      </c>
      <c r="AK29" s="1">
        <f t="shared" si="13"/>
        <v>2.1991322343483204</v>
      </c>
      <c r="AL29" s="1">
        <f t="shared" si="14"/>
        <v>2.1188963106658871</v>
      </c>
    </row>
    <row r="30" spans="2:38" x14ac:dyDescent="0.25">
      <c r="B30" s="22">
        <v>50</v>
      </c>
      <c r="C30" s="26">
        <v>70</v>
      </c>
      <c r="D30" s="4">
        <v>1.1218964909964826</v>
      </c>
      <c r="E30" s="4">
        <v>1.8132125609011527</v>
      </c>
      <c r="F30" s="4">
        <v>2.3129535360120288</v>
      </c>
      <c r="G30" s="1">
        <v>1.1114516166276389</v>
      </c>
      <c r="H30" s="1">
        <v>1.7972881760168722</v>
      </c>
      <c r="I30" s="1">
        <v>2.274471829160865</v>
      </c>
      <c r="J30" s="4">
        <v>1.1137314615047271</v>
      </c>
      <c r="K30" s="4">
        <v>1.7975366954238527</v>
      </c>
      <c r="L30" s="4">
        <v>2.2356292835850633</v>
      </c>
      <c r="M30" s="1">
        <v>1.1110046742669195</v>
      </c>
      <c r="N30" s="1">
        <v>1.7739136970088878</v>
      </c>
      <c r="O30" s="1">
        <v>2.1509347536442043</v>
      </c>
      <c r="P30" s="4">
        <v>1.0989570051039785</v>
      </c>
      <c r="Q30" s="4">
        <v>1.7525344886442737</v>
      </c>
      <c r="R30" s="4">
        <v>2.1151974106407554</v>
      </c>
      <c r="S30" s="1">
        <v>1.1048709303461712</v>
      </c>
      <c r="T30" s="1">
        <v>1.7368371125274353</v>
      </c>
      <c r="U30" s="1">
        <v>2.1002732346113273</v>
      </c>
      <c r="W30" s="1">
        <f t="shared" si="0"/>
        <v>1.1218964909964826</v>
      </c>
      <c r="X30" s="1">
        <f t="shared" si="1"/>
        <v>1.1114516166276389</v>
      </c>
      <c r="Y30" s="1">
        <f t="shared" si="2"/>
        <v>1.8132125609011527</v>
      </c>
      <c r="Z30" s="1">
        <f t="shared" si="3"/>
        <v>1.7972881760168722</v>
      </c>
      <c r="AA30" s="1">
        <f t="shared" si="4"/>
        <v>2.3129535360120288</v>
      </c>
      <c r="AB30" s="1">
        <f t="shared" si="5"/>
        <v>2.274471829160865</v>
      </c>
      <c r="AD30" s="1">
        <f t="shared" si="6"/>
        <v>1.1114516166276389</v>
      </c>
      <c r="AE30" s="1">
        <f t="shared" si="7"/>
        <v>1.1137314615047271</v>
      </c>
      <c r="AF30" s="1">
        <f t="shared" si="8"/>
        <v>1.1110046742669195</v>
      </c>
      <c r="AG30" s="1">
        <f t="shared" si="9"/>
        <v>1.7972881760168722</v>
      </c>
      <c r="AH30" s="1">
        <f t="shared" si="10"/>
        <v>1.7975366954238527</v>
      </c>
      <c r="AI30" s="1">
        <f t="shared" si="11"/>
        <v>1.7739136970088878</v>
      </c>
      <c r="AJ30" s="1">
        <f t="shared" si="12"/>
        <v>2.274471829160865</v>
      </c>
      <c r="AK30" s="1">
        <f t="shared" si="13"/>
        <v>2.2356292835850633</v>
      </c>
      <c r="AL30" s="1">
        <f t="shared" si="14"/>
        <v>2.1509347536442043</v>
      </c>
    </row>
    <row r="31" spans="2:38" x14ac:dyDescent="0.25">
      <c r="B31" s="22">
        <v>60</v>
      </c>
      <c r="C31" s="26">
        <v>70</v>
      </c>
      <c r="D31" s="4">
        <v>1.1246445325695331</v>
      </c>
      <c r="E31" s="4">
        <v>1.5586282550661188</v>
      </c>
      <c r="F31" s="4">
        <v>2.3462404956133618</v>
      </c>
      <c r="G31" s="1">
        <v>1.1124134816080067</v>
      </c>
      <c r="H31" s="1">
        <v>1.5290114104475341</v>
      </c>
      <c r="I31" s="1">
        <v>2.2940874054061124</v>
      </c>
      <c r="J31" s="4">
        <v>1.1124998451038144</v>
      </c>
      <c r="K31" s="4">
        <v>1.5072994807821756</v>
      </c>
      <c r="L31" s="4">
        <v>2.2489398753290004</v>
      </c>
      <c r="M31" s="1">
        <v>1.1070658259014834</v>
      </c>
      <c r="N31" s="1">
        <v>1.4900171379118554</v>
      </c>
      <c r="O31" s="1">
        <v>2.1549346245836545</v>
      </c>
      <c r="P31" s="4">
        <v>1.0912515554411517</v>
      </c>
      <c r="Q31" s="4">
        <v>1.4614377198128745</v>
      </c>
      <c r="R31" s="4">
        <v>2.0806793977203206</v>
      </c>
      <c r="S31" s="1">
        <v>1.0981752826354212</v>
      </c>
      <c r="T31" s="1">
        <v>1.4308761830918495</v>
      </c>
      <c r="U31" s="1">
        <v>2.0789994182153984</v>
      </c>
      <c r="W31" s="1">
        <f t="shared" si="0"/>
        <v>1.1246445325695331</v>
      </c>
      <c r="X31" s="1">
        <f t="shared" si="1"/>
        <v>1.1124134816080067</v>
      </c>
      <c r="Y31" s="1">
        <f t="shared" si="2"/>
        <v>1.5586282550661188</v>
      </c>
      <c r="Z31" s="1">
        <f t="shared" si="3"/>
        <v>1.5290114104475341</v>
      </c>
      <c r="AA31" s="1">
        <f t="shared" si="4"/>
        <v>2.3462404956133618</v>
      </c>
      <c r="AB31" s="1">
        <f t="shared" si="5"/>
        <v>2.2940874054061124</v>
      </c>
      <c r="AD31" s="1">
        <f t="shared" si="6"/>
        <v>1.1124134816080067</v>
      </c>
      <c r="AE31" s="1">
        <f t="shared" si="7"/>
        <v>1.1124998451038144</v>
      </c>
      <c r="AF31" s="1">
        <f t="shared" si="8"/>
        <v>1.1070658259014834</v>
      </c>
      <c r="AG31" s="1">
        <f t="shared" si="9"/>
        <v>1.5290114104475341</v>
      </c>
      <c r="AH31" s="1">
        <f t="shared" si="10"/>
        <v>1.5072994807821756</v>
      </c>
      <c r="AI31" s="1">
        <f t="shared" si="11"/>
        <v>1.4900171379118554</v>
      </c>
      <c r="AJ31" s="1">
        <f t="shared" si="12"/>
        <v>2.2940874054061124</v>
      </c>
      <c r="AK31" s="1">
        <f t="shared" si="13"/>
        <v>2.2489398753290004</v>
      </c>
      <c r="AL31" s="1">
        <f t="shared" si="14"/>
        <v>2.1549346245836545</v>
      </c>
    </row>
    <row r="32" spans="2:38" x14ac:dyDescent="0.25">
      <c r="B32" s="22">
        <v>70</v>
      </c>
      <c r="C32" s="26">
        <v>70</v>
      </c>
      <c r="D32" s="4">
        <v>1.1215969389564664</v>
      </c>
      <c r="E32" s="4">
        <v>1.2783337820096092</v>
      </c>
      <c r="F32" s="4">
        <v>2.3372180023685512</v>
      </c>
      <c r="G32" s="1">
        <v>1.1083272466620619</v>
      </c>
      <c r="H32" s="1">
        <v>1.2519677988900111</v>
      </c>
      <c r="I32" s="1">
        <v>2.2750730539776889</v>
      </c>
      <c r="J32" s="4">
        <v>1.1071173393886906</v>
      </c>
      <c r="K32" s="4">
        <v>1.2174146072051253</v>
      </c>
      <c r="L32" s="4">
        <v>2.2264117888149397</v>
      </c>
      <c r="M32" s="1">
        <v>1.1003028027298043</v>
      </c>
      <c r="N32" s="1">
        <v>1.2183184702758418</v>
      </c>
      <c r="O32" s="1">
        <v>2.1303525929826197</v>
      </c>
      <c r="P32" s="4">
        <v>1.0823268543829525</v>
      </c>
      <c r="Q32" s="4">
        <v>1.1935116773384054</v>
      </c>
      <c r="R32" s="4">
        <v>2.0238198228436071</v>
      </c>
      <c r="S32" s="1">
        <v>1.0927452490152987</v>
      </c>
      <c r="T32" s="1">
        <v>1.1641344000419405</v>
      </c>
      <c r="U32" s="1">
        <v>2.0463822594562107</v>
      </c>
      <c r="W32" s="1">
        <f t="shared" si="0"/>
        <v>1.1215969389564664</v>
      </c>
      <c r="X32" s="1">
        <f t="shared" si="1"/>
        <v>1.1083272466620619</v>
      </c>
      <c r="Y32" s="1">
        <f t="shared" si="2"/>
        <v>1.2783337820096092</v>
      </c>
      <c r="Z32" s="1">
        <f t="shared" si="3"/>
        <v>1.2519677988900111</v>
      </c>
      <c r="AA32" s="1">
        <f t="shared" si="4"/>
        <v>2.3372180023685512</v>
      </c>
      <c r="AB32" s="1">
        <f t="shared" si="5"/>
        <v>2.2750730539776889</v>
      </c>
      <c r="AD32" s="1">
        <f t="shared" si="6"/>
        <v>1.1083272466620619</v>
      </c>
      <c r="AE32" s="1">
        <f t="shared" si="7"/>
        <v>1.1071173393886906</v>
      </c>
      <c r="AF32" s="1">
        <f t="shared" si="8"/>
        <v>1.1003028027298043</v>
      </c>
      <c r="AG32" s="1">
        <f t="shared" si="9"/>
        <v>1.2519677988900111</v>
      </c>
      <c r="AH32" s="1">
        <f t="shared" si="10"/>
        <v>1.2174146072051253</v>
      </c>
      <c r="AI32" s="1">
        <f t="shared" si="11"/>
        <v>1.2183184702758418</v>
      </c>
      <c r="AJ32" s="1">
        <f t="shared" si="12"/>
        <v>2.2750730539776889</v>
      </c>
      <c r="AK32" s="1">
        <f t="shared" si="13"/>
        <v>2.2264117888149397</v>
      </c>
      <c r="AL32" s="1">
        <f t="shared" si="14"/>
        <v>2.1303525929826197</v>
      </c>
    </row>
    <row r="33" spans="2:38" x14ac:dyDescent="0.25">
      <c r="B33" s="23">
        <v>80</v>
      </c>
      <c r="C33" s="27">
        <v>70</v>
      </c>
      <c r="D33" s="4">
        <v>1.1121949482191809</v>
      </c>
      <c r="E33" s="4">
        <v>0.98195113225817687</v>
      </c>
      <c r="F33" s="4">
        <v>2.3028719706755982</v>
      </c>
      <c r="G33" s="1">
        <v>1.0993683728461956</v>
      </c>
      <c r="H33" s="1">
        <v>0.96232704270127312</v>
      </c>
      <c r="I33" s="1">
        <v>2.2340054390979294</v>
      </c>
      <c r="J33" s="4">
        <v>1.0979100735750829</v>
      </c>
      <c r="K33" s="4">
        <v>0.94491199769928191</v>
      </c>
      <c r="L33" s="4">
        <v>2.1940985408242044</v>
      </c>
      <c r="M33" s="1">
        <v>1.0927039151412083</v>
      </c>
      <c r="N33" s="1">
        <v>0.98945272371842519</v>
      </c>
      <c r="O33" s="1">
        <v>2.1038151373203409</v>
      </c>
      <c r="P33" s="4">
        <v>1.0761608070235658</v>
      </c>
      <c r="Q33" s="4">
        <v>0.96801680791810685</v>
      </c>
      <c r="R33" s="4">
        <v>1.9815151408217222</v>
      </c>
      <c r="S33" s="1">
        <v>1.0922630806067677</v>
      </c>
      <c r="T33" s="1">
        <v>0.94622348567573389</v>
      </c>
      <c r="U33" s="1">
        <v>2.0108129737146263</v>
      </c>
      <c r="W33" s="1">
        <f t="shared" si="0"/>
        <v>1.1121949482191809</v>
      </c>
      <c r="X33" s="1">
        <f t="shared" si="1"/>
        <v>1.0993683728461956</v>
      </c>
      <c r="Y33" s="1">
        <f t="shared" si="2"/>
        <v>0.98195113225817687</v>
      </c>
      <c r="Z33" s="1">
        <f t="shared" si="3"/>
        <v>0.96232704270127312</v>
      </c>
      <c r="AA33" s="1">
        <f t="shared" si="4"/>
        <v>2.3028719706755982</v>
      </c>
      <c r="AB33" s="1">
        <f t="shared" si="5"/>
        <v>2.2340054390979294</v>
      </c>
      <c r="AD33" s="1">
        <f t="shared" si="6"/>
        <v>1.0993683728461956</v>
      </c>
      <c r="AE33" s="1">
        <f t="shared" si="7"/>
        <v>1.0979100735750829</v>
      </c>
      <c r="AF33" s="1">
        <f t="shared" si="8"/>
        <v>1.0927039151412083</v>
      </c>
      <c r="AG33" s="1">
        <f t="shared" si="9"/>
        <v>0.96232704270127312</v>
      </c>
      <c r="AH33" s="1">
        <f t="shared" si="10"/>
        <v>0.94491199769928191</v>
      </c>
      <c r="AI33" s="1">
        <f t="shared" si="11"/>
        <v>0.98945272371842519</v>
      </c>
      <c r="AJ33" s="1">
        <f t="shared" si="12"/>
        <v>2.2340054390979294</v>
      </c>
      <c r="AK33" s="1">
        <f t="shared" si="13"/>
        <v>2.1940985408242044</v>
      </c>
      <c r="AL33" s="1">
        <f t="shared" si="14"/>
        <v>2.1038151373203409</v>
      </c>
    </row>
    <row r="34" spans="2:38" x14ac:dyDescent="0.25">
      <c r="B34" s="21">
        <v>30</v>
      </c>
      <c r="C34" s="25">
        <v>80</v>
      </c>
      <c r="D34" s="4">
        <v>1.1432153953782405</v>
      </c>
      <c r="E34" s="4">
        <v>2.4656376705182343</v>
      </c>
      <c r="F34" s="4">
        <v>2.2343438769564483</v>
      </c>
      <c r="G34" s="1">
        <v>1.1360571039912339</v>
      </c>
      <c r="H34" s="1">
        <v>2.518814539591983</v>
      </c>
      <c r="I34" s="1">
        <v>2.2301875904342463</v>
      </c>
      <c r="J34" s="4">
        <v>1.1389134831650771</v>
      </c>
      <c r="K34" s="4">
        <v>2.4581310283115099</v>
      </c>
      <c r="L34" s="4">
        <v>2.1632552037337582</v>
      </c>
      <c r="M34" s="1">
        <v>1.1277305561766624</v>
      </c>
      <c r="N34" s="1">
        <v>2.2969461944888132</v>
      </c>
      <c r="O34" s="1">
        <v>2.0350818876245578</v>
      </c>
      <c r="P34" s="4">
        <v>1.1164312337525191</v>
      </c>
      <c r="Q34" s="4">
        <v>2.3072065599899543</v>
      </c>
      <c r="R34" s="4">
        <v>2.0157168064039994</v>
      </c>
      <c r="S34" s="1">
        <v>1.1081015535942442</v>
      </c>
      <c r="T34" s="1">
        <v>2.374677835211676</v>
      </c>
      <c r="U34" s="1">
        <v>1.976628717121516</v>
      </c>
      <c r="W34" s="1">
        <f t="shared" si="0"/>
        <v>1.1432153953782405</v>
      </c>
      <c r="X34" s="1">
        <f t="shared" si="1"/>
        <v>1.1360571039912339</v>
      </c>
      <c r="Y34" s="1">
        <f t="shared" si="2"/>
        <v>2.4656376705182343</v>
      </c>
      <c r="Z34" s="1">
        <f t="shared" si="3"/>
        <v>2.518814539591983</v>
      </c>
      <c r="AA34" s="1">
        <f t="shared" si="4"/>
        <v>2.2343438769564483</v>
      </c>
      <c r="AB34" s="1">
        <f t="shared" si="5"/>
        <v>2.2301875904342463</v>
      </c>
      <c r="AD34" s="1">
        <f t="shared" si="6"/>
        <v>1.1360571039912339</v>
      </c>
      <c r="AE34" s="1">
        <f t="shared" si="7"/>
        <v>1.1389134831650771</v>
      </c>
      <c r="AF34" s="1">
        <f t="shared" si="8"/>
        <v>1.1277305561766624</v>
      </c>
      <c r="AG34" s="1">
        <f t="shared" si="9"/>
        <v>2.518814539591983</v>
      </c>
      <c r="AH34" s="1">
        <f t="shared" si="10"/>
        <v>2.4581310283115099</v>
      </c>
      <c r="AI34" s="1">
        <f t="shared" si="11"/>
        <v>2.2969461944888132</v>
      </c>
      <c r="AJ34" s="1">
        <f t="shared" si="12"/>
        <v>2.2301875904342463</v>
      </c>
      <c r="AK34" s="1">
        <f t="shared" si="13"/>
        <v>2.1632552037337582</v>
      </c>
      <c r="AL34" s="1">
        <f t="shared" si="14"/>
        <v>2.0350818876245578</v>
      </c>
    </row>
    <row r="35" spans="2:38" x14ac:dyDescent="0.25">
      <c r="B35" s="22">
        <v>40</v>
      </c>
      <c r="C35" s="26">
        <v>80</v>
      </c>
      <c r="D35" s="4">
        <v>1.138105277525526</v>
      </c>
      <c r="E35" s="4">
        <v>2.2062051651705037</v>
      </c>
      <c r="F35" s="4">
        <v>2.2613359373931745</v>
      </c>
      <c r="G35" s="1">
        <v>1.1289298262644087</v>
      </c>
      <c r="H35" s="1">
        <v>2.226951812147421</v>
      </c>
      <c r="I35" s="1">
        <v>2.2418540866029031</v>
      </c>
      <c r="J35" s="4">
        <v>1.1333240169032235</v>
      </c>
      <c r="K35" s="4">
        <v>2.207375961001536</v>
      </c>
      <c r="L35" s="4">
        <v>2.184568898069899</v>
      </c>
      <c r="M35" s="1">
        <v>1.1288341383900462</v>
      </c>
      <c r="N35" s="1">
        <v>2.1233044438969264</v>
      </c>
      <c r="O35" s="1">
        <v>2.0646139712606151</v>
      </c>
      <c r="P35" s="4">
        <v>1.1170419530676932</v>
      </c>
      <c r="Q35" s="4">
        <v>2.1053644389455477</v>
      </c>
      <c r="R35" s="4">
        <v>2.0352739072729333</v>
      </c>
      <c r="S35" s="1">
        <v>1.1143564053240531</v>
      </c>
      <c r="T35" s="1">
        <v>2.139356133793199</v>
      </c>
      <c r="U35" s="1">
        <v>2.0018453606381774</v>
      </c>
      <c r="W35" s="1">
        <f t="shared" si="0"/>
        <v>1.138105277525526</v>
      </c>
      <c r="X35" s="1">
        <f t="shared" si="1"/>
        <v>1.1289298262644087</v>
      </c>
      <c r="Y35" s="1">
        <f t="shared" si="2"/>
        <v>2.2062051651705037</v>
      </c>
      <c r="Z35" s="1">
        <f t="shared" si="3"/>
        <v>2.226951812147421</v>
      </c>
      <c r="AA35" s="1">
        <f t="shared" si="4"/>
        <v>2.2613359373931745</v>
      </c>
      <c r="AB35" s="1">
        <f t="shared" si="5"/>
        <v>2.2418540866029031</v>
      </c>
      <c r="AD35" s="1">
        <f t="shared" si="6"/>
        <v>1.1289298262644087</v>
      </c>
      <c r="AE35" s="1">
        <f t="shared" si="7"/>
        <v>1.1333240169032235</v>
      </c>
      <c r="AF35" s="1">
        <f t="shared" si="8"/>
        <v>1.1288341383900462</v>
      </c>
      <c r="AG35" s="1">
        <f t="shared" si="9"/>
        <v>2.226951812147421</v>
      </c>
      <c r="AH35" s="1">
        <f t="shared" si="10"/>
        <v>2.207375961001536</v>
      </c>
      <c r="AI35" s="1">
        <f t="shared" si="11"/>
        <v>2.1233044438969264</v>
      </c>
      <c r="AJ35" s="1">
        <f t="shared" si="12"/>
        <v>2.2418540866029031</v>
      </c>
      <c r="AK35" s="1">
        <f t="shared" si="13"/>
        <v>2.184568898069899</v>
      </c>
      <c r="AL35" s="1">
        <f t="shared" si="14"/>
        <v>2.0646139712606151</v>
      </c>
    </row>
    <row r="36" spans="2:38" x14ac:dyDescent="0.25">
      <c r="B36" s="22">
        <v>50</v>
      </c>
      <c r="C36" s="26">
        <v>80</v>
      </c>
      <c r="D36" s="4">
        <v>1.1379356300557044</v>
      </c>
      <c r="E36" s="4">
        <v>1.9262021557402935</v>
      </c>
      <c r="F36" s="4">
        <v>2.3066501901409371</v>
      </c>
      <c r="G36" s="1">
        <v>1.1275455105213876</v>
      </c>
      <c r="H36" s="1">
        <v>1.9194019539494953</v>
      </c>
      <c r="I36" s="1">
        <v>2.2741127419209852</v>
      </c>
      <c r="J36" s="4">
        <v>1.1305998470511223</v>
      </c>
      <c r="K36" s="4">
        <v>1.9136477424345835</v>
      </c>
      <c r="L36" s="4">
        <v>2.223734528207665</v>
      </c>
      <c r="M36" s="1">
        <v>1.1274573469428073</v>
      </c>
      <c r="N36" s="1">
        <v>1.8787301037776298</v>
      </c>
      <c r="O36" s="1">
        <v>2.1040866646912182</v>
      </c>
      <c r="P36" s="4">
        <v>1.1132308713748653</v>
      </c>
      <c r="Q36" s="4">
        <v>1.8426949585487407</v>
      </c>
      <c r="R36" s="4">
        <v>2.0568753763176639</v>
      </c>
      <c r="S36" s="1">
        <v>1.1148040117715925</v>
      </c>
      <c r="T36" s="1">
        <v>1.8276892254357899</v>
      </c>
      <c r="U36" s="1">
        <v>2.0356953424375188</v>
      </c>
      <c r="W36" s="1">
        <f t="shared" si="0"/>
        <v>1.1379356300557044</v>
      </c>
      <c r="X36" s="1">
        <f t="shared" si="1"/>
        <v>1.1275455105213876</v>
      </c>
      <c r="Y36" s="1">
        <f t="shared" si="2"/>
        <v>1.9262021557402935</v>
      </c>
      <c r="Z36" s="1">
        <f t="shared" si="3"/>
        <v>1.9194019539494953</v>
      </c>
      <c r="AA36" s="1">
        <f t="shared" si="4"/>
        <v>2.3066501901409371</v>
      </c>
      <c r="AB36" s="1">
        <f t="shared" si="5"/>
        <v>2.2741127419209852</v>
      </c>
      <c r="AD36" s="1">
        <f t="shared" si="6"/>
        <v>1.1275455105213876</v>
      </c>
      <c r="AE36" s="1">
        <f t="shared" si="7"/>
        <v>1.1305998470511223</v>
      </c>
      <c r="AF36" s="1">
        <f t="shared" si="8"/>
        <v>1.1274573469428073</v>
      </c>
      <c r="AG36" s="1">
        <f t="shared" si="9"/>
        <v>1.9194019539494953</v>
      </c>
      <c r="AH36" s="1">
        <f t="shared" si="10"/>
        <v>1.9136477424345835</v>
      </c>
      <c r="AI36" s="1">
        <f t="shared" si="11"/>
        <v>1.8787301037776298</v>
      </c>
      <c r="AJ36" s="1">
        <f t="shared" si="12"/>
        <v>2.2741127419209852</v>
      </c>
      <c r="AK36" s="1">
        <f t="shared" si="13"/>
        <v>2.223734528207665</v>
      </c>
      <c r="AL36" s="1">
        <f t="shared" si="14"/>
        <v>2.1040866646912182</v>
      </c>
    </row>
    <row r="37" spans="2:38" x14ac:dyDescent="0.25">
      <c r="B37" s="22">
        <v>60</v>
      </c>
      <c r="C37" s="26">
        <v>80</v>
      </c>
      <c r="D37" s="4">
        <v>1.1399723798668342</v>
      </c>
      <c r="E37" s="4">
        <v>1.6666923694790325</v>
      </c>
      <c r="F37" s="4">
        <v>2.3306131643215564</v>
      </c>
      <c r="G37" s="1">
        <v>1.1285537189579236</v>
      </c>
      <c r="H37" s="1">
        <v>1.6471358811481602</v>
      </c>
      <c r="I37" s="1">
        <v>2.2877734015690545</v>
      </c>
      <c r="J37" s="4">
        <v>1.1289641542962865</v>
      </c>
      <c r="K37" s="4">
        <v>1.6285217066632764</v>
      </c>
      <c r="L37" s="4">
        <v>2.2417311157599302</v>
      </c>
      <c r="M37" s="1">
        <v>1.1234774988528784</v>
      </c>
      <c r="N37" s="1">
        <v>1.6138393108047011</v>
      </c>
      <c r="O37" s="1">
        <v>2.1239186823895215</v>
      </c>
      <c r="P37" s="4">
        <v>1.105187560483295</v>
      </c>
      <c r="Q37" s="4">
        <v>1.5749753484537985</v>
      </c>
      <c r="R37" s="4">
        <v>2.0533738811598705</v>
      </c>
      <c r="S37" s="1">
        <v>1.1106642853171449</v>
      </c>
      <c r="T37" s="1">
        <v>1.5270410859004715</v>
      </c>
      <c r="U37" s="1">
        <v>2.0570666580936354</v>
      </c>
      <c r="W37" s="1">
        <f t="shared" si="0"/>
        <v>1.1399723798668342</v>
      </c>
      <c r="X37" s="1">
        <f t="shared" si="1"/>
        <v>1.1285537189579236</v>
      </c>
      <c r="Y37" s="1">
        <f t="shared" si="2"/>
        <v>1.6666923694790325</v>
      </c>
      <c r="Z37" s="1">
        <f t="shared" si="3"/>
        <v>1.6471358811481602</v>
      </c>
      <c r="AA37" s="1">
        <f t="shared" si="4"/>
        <v>2.3306131643215564</v>
      </c>
      <c r="AB37" s="1">
        <f t="shared" si="5"/>
        <v>2.2877734015690545</v>
      </c>
      <c r="AD37" s="1">
        <f t="shared" si="6"/>
        <v>1.1285537189579236</v>
      </c>
      <c r="AE37" s="1">
        <f t="shared" si="7"/>
        <v>1.1289641542962865</v>
      </c>
      <c r="AF37" s="1">
        <f t="shared" si="8"/>
        <v>1.1234774988528784</v>
      </c>
      <c r="AG37" s="1">
        <f t="shared" si="9"/>
        <v>1.6471358811481602</v>
      </c>
      <c r="AH37" s="1">
        <f t="shared" si="10"/>
        <v>1.6285217066632764</v>
      </c>
      <c r="AI37" s="1">
        <f t="shared" si="11"/>
        <v>1.6138393108047011</v>
      </c>
      <c r="AJ37" s="1">
        <f t="shared" si="12"/>
        <v>2.2877734015690545</v>
      </c>
      <c r="AK37" s="1">
        <f t="shared" si="13"/>
        <v>2.2417311157599302</v>
      </c>
      <c r="AL37" s="1">
        <f t="shared" si="14"/>
        <v>2.1239186823895215</v>
      </c>
    </row>
    <row r="38" spans="2:38" x14ac:dyDescent="0.25">
      <c r="B38" s="22">
        <v>70</v>
      </c>
      <c r="C38" s="26">
        <v>80</v>
      </c>
      <c r="D38" s="4">
        <v>1.1378397060198651</v>
      </c>
      <c r="E38" s="4">
        <v>1.3949608595397365</v>
      </c>
      <c r="F38" s="4">
        <v>2.3188600837799744</v>
      </c>
      <c r="G38" s="1">
        <v>1.1257667044592239</v>
      </c>
      <c r="H38" s="1">
        <v>1.3750152273040617</v>
      </c>
      <c r="I38" s="1">
        <v>2.2667856402217277</v>
      </c>
      <c r="J38" s="4">
        <v>1.124095515948947</v>
      </c>
      <c r="K38" s="4">
        <v>1.3450740034330606</v>
      </c>
      <c r="L38" s="4">
        <v>2.2281593180012291</v>
      </c>
      <c r="M38" s="1">
        <v>1.1168480431751484</v>
      </c>
      <c r="N38" s="1">
        <v>1.3484696991008056</v>
      </c>
      <c r="O38" s="1">
        <v>2.1193626337048808</v>
      </c>
      <c r="P38" s="4">
        <v>1.0956740013375958</v>
      </c>
      <c r="Q38" s="4">
        <v>1.3141371979401817</v>
      </c>
      <c r="R38" s="4">
        <v>2.0265752766005627</v>
      </c>
      <c r="S38" s="1">
        <v>1.1062982187376906</v>
      </c>
      <c r="T38" s="1">
        <v>1.2558883370084717</v>
      </c>
      <c r="U38" s="1">
        <v>2.0515127670548492</v>
      </c>
      <c r="W38" s="1">
        <f t="shared" si="0"/>
        <v>1.1378397060198651</v>
      </c>
      <c r="X38" s="1">
        <f t="shared" si="1"/>
        <v>1.1257667044592239</v>
      </c>
      <c r="Y38" s="1">
        <f t="shared" si="2"/>
        <v>1.3949608595397365</v>
      </c>
      <c r="Z38" s="1">
        <f t="shared" si="3"/>
        <v>1.3750152273040617</v>
      </c>
      <c r="AA38" s="1">
        <f t="shared" si="4"/>
        <v>2.3188600837799744</v>
      </c>
      <c r="AB38" s="1">
        <f t="shared" si="5"/>
        <v>2.2667856402217277</v>
      </c>
      <c r="AD38" s="1">
        <f t="shared" si="6"/>
        <v>1.1257667044592239</v>
      </c>
      <c r="AE38" s="1">
        <f t="shared" si="7"/>
        <v>1.124095515948947</v>
      </c>
      <c r="AF38" s="1">
        <f t="shared" si="8"/>
        <v>1.1168480431751484</v>
      </c>
      <c r="AG38" s="1">
        <f t="shared" si="9"/>
        <v>1.3750152273040617</v>
      </c>
      <c r="AH38" s="1">
        <f t="shared" si="10"/>
        <v>1.3450740034330606</v>
      </c>
      <c r="AI38" s="1">
        <f t="shared" si="11"/>
        <v>1.3484696991008056</v>
      </c>
      <c r="AJ38" s="1">
        <f t="shared" si="12"/>
        <v>2.2667856402217277</v>
      </c>
      <c r="AK38" s="1">
        <f t="shared" si="13"/>
        <v>2.2281593180012291</v>
      </c>
      <c r="AL38" s="1">
        <f t="shared" si="14"/>
        <v>2.1193626337048808</v>
      </c>
    </row>
    <row r="39" spans="2:38" x14ac:dyDescent="0.25">
      <c r="B39" s="23">
        <v>80</v>
      </c>
      <c r="C39" s="27">
        <v>80</v>
      </c>
      <c r="D39" s="4">
        <v>1.1292756821444119</v>
      </c>
      <c r="E39" s="4">
        <v>1.1059229447662657</v>
      </c>
      <c r="F39" s="4">
        <v>2.2914849694509476</v>
      </c>
      <c r="G39" s="1">
        <v>1.1178713507246241</v>
      </c>
      <c r="H39" s="1">
        <v>1.0883394129145629</v>
      </c>
      <c r="I39" s="1">
        <v>2.2318677781749612</v>
      </c>
      <c r="J39" s="4">
        <v>1.1153662142459095</v>
      </c>
      <c r="K39" s="4">
        <v>1.0716007396557719</v>
      </c>
      <c r="L39" s="4">
        <v>2.2082188128824063</v>
      </c>
      <c r="M39" s="1">
        <v>1.1089570194969123</v>
      </c>
      <c r="N39" s="1">
        <v>1.1082392609219156</v>
      </c>
      <c r="O39" s="1">
        <v>2.1112484883730991</v>
      </c>
      <c r="P39" s="4">
        <v>1.0887683306518072</v>
      </c>
      <c r="Q39" s="4">
        <v>1.0760365317549294</v>
      </c>
      <c r="R39" s="4">
        <v>2.0054860280280495</v>
      </c>
      <c r="S39" s="1">
        <v>1.1044575407414436</v>
      </c>
      <c r="T39" s="1">
        <v>1.0180886371728595</v>
      </c>
      <c r="U39" s="1">
        <v>2.0222273988731581</v>
      </c>
      <c r="W39" s="1">
        <f t="shared" si="0"/>
        <v>1.1292756821444119</v>
      </c>
      <c r="X39" s="1">
        <f t="shared" si="1"/>
        <v>1.1178713507246241</v>
      </c>
      <c r="Y39" s="1">
        <f t="shared" si="2"/>
        <v>1.1059229447662657</v>
      </c>
      <c r="Z39" s="1">
        <f t="shared" si="3"/>
        <v>1.0883394129145629</v>
      </c>
      <c r="AA39" s="1">
        <f t="shared" si="4"/>
        <v>2.2914849694509476</v>
      </c>
      <c r="AB39" s="1">
        <f t="shared" si="5"/>
        <v>2.2318677781749612</v>
      </c>
      <c r="AD39" s="1">
        <f t="shared" si="6"/>
        <v>1.1178713507246241</v>
      </c>
      <c r="AE39" s="1">
        <f t="shared" si="7"/>
        <v>1.1153662142459095</v>
      </c>
      <c r="AF39" s="1">
        <f t="shared" si="8"/>
        <v>1.1089570194969123</v>
      </c>
      <c r="AG39" s="1">
        <f t="shared" si="9"/>
        <v>1.0883394129145629</v>
      </c>
      <c r="AH39" s="1">
        <f t="shared" si="10"/>
        <v>1.0716007396557719</v>
      </c>
      <c r="AI39" s="1">
        <f t="shared" si="11"/>
        <v>1.1082392609219156</v>
      </c>
      <c r="AJ39" s="1">
        <f t="shared" si="12"/>
        <v>2.2318677781749612</v>
      </c>
      <c r="AK39" s="1">
        <f t="shared" si="13"/>
        <v>2.2082188128824063</v>
      </c>
      <c r="AL39" s="1">
        <f t="shared" si="14"/>
        <v>2.1112484883730991</v>
      </c>
    </row>
    <row r="40" spans="2:38" x14ac:dyDescent="0.25">
      <c r="B40" s="21">
        <v>30</v>
      </c>
      <c r="C40" s="25">
        <v>90</v>
      </c>
      <c r="D40" s="4">
        <v>1.1606065502975755</v>
      </c>
      <c r="E40" s="4">
        <v>2.5600189727010458</v>
      </c>
      <c r="F40" s="4">
        <v>2.1979288836943125</v>
      </c>
      <c r="G40" s="1">
        <v>1.1519173783495864</v>
      </c>
      <c r="H40" s="1">
        <v>2.5973465405880365</v>
      </c>
      <c r="I40" s="1">
        <v>2.1853440090348135</v>
      </c>
      <c r="J40" s="4">
        <v>1.1531371042732308</v>
      </c>
      <c r="K40" s="4">
        <v>2.5289302408449701</v>
      </c>
      <c r="L40" s="4">
        <v>2.1108895931942993</v>
      </c>
      <c r="M40" s="1">
        <v>1.1390270298669762</v>
      </c>
      <c r="N40" s="1">
        <v>2.340861687061297</v>
      </c>
      <c r="O40" s="1">
        <v>1.9626989394856948</v>
      </c>
      <c r="P40" s="4">
        <v>1.1266027115288868</v>
      </c>
      <c r="Q40" s="4">
        <v>2.3169705161751715</v>
      </c>
      <c r="R40" s="4">
        <v>1.9221909875169874</v>
      </c>
      <c r="S40" s="1">
        <v>1.1154027477145145</v>
      </c>
      <c r="T40" s="1">
        <v>2.3962945197351289</v>
      </c>
      <c r="U40" s="1">
        <v>1.8657490903833449</v>
      </c>
      <c r="W40" s="1">
        <f t="shared" si="0"/>
        <v>1.1606065502975755</v>
      </c>
      <c r="X40" s="1">
        <f t="shared" si="1"/>
        <v>1.1519173783495864</v>
      </c>
      <c r="Y40" s="1">
        <f t="shared" si="2"/>
        <v>2.5600189727010458</v>
      </c>
      <c r="Z40" s="1">
        <f t="shared" si="3"/>
        <v>2.5973465405880365</v>
      </c>
      <c r="AA40" s="1">
        <f t="shared" si="4"/>
        <v>2.1979288836943125</v>
      </c>
      <c r="AB40" s="1">
        <f t="shared" si="5"/>
        <v>2.1853440090348135</v>
      </c>
      <c r="AD40" s="1">
        <f t="shared" si="6"/>
        <v>1.1519173783495864</v>
      </c>
      <c r="AE40" s="1">
        <f t="shared" si="7"/>
        <v>1.1531371042732308</v>
      </c>
      <c r="AF40" s="1">
        <f t="shared" si="8"/>
        <v>1.1390270298669762</v>
      </c>
      <c r="AG40" s="1">
        <f t="shared" si="9"/>
        <v>2.5973465405880365</v>
      </c>
      <c r="AH40" s="1">
        <f t="shared" si="10"/>
        <v>2.5289302408449701</v>
      </c>
      <c r="AI40" s="1">
        <f t="shared" si="11"/>
        <v>2.340861687061297</v>
      </c>
      <c r="AJ40" s="1">
        <f t="shared" si="12"/>
        <v>2.1853440090348135</v>
      </c>
      <c r="AK40" s="1">
        <f t="shared" si="13"/>
        <v>2.1108895931942993</v>
      </c>
      <c r="AL40" s="1">
        <f t="shared" si="14"/>
        <v>1.9626989394856948</v>
      </c>
    </row>
    <row r="41" spans="2:38" x14ac:dyDescent="0.25">
      <c r="B41" s="22">
        <v>40</v>
      </c>
      <c r="C41" s="26">
        <v>90</v>
      </c>
      <c r="D41" s="4">
        <v>1.1548957651409908</v>
      </c>
      <c r="E41" s="4">
        <v>2.318996783821786</v>
      </c>
      <c r="F41" s="4">
        <v>2.2132846485488145</v>
      </c>
      <c r="G41" s="1">
        <v>1.1451612205380644</v>
      </c>
      <c r="H41" s="1">
        <v>2.3386713227564573</v>
      </c>
      <c r="I41" s="1">
        <v>2.1902918183608415</v>
      </c>
      <c r="J41" s="4">
        <v>1.1487869012254637</v>
      </c>
      <c r="K41" s="4">
        <v>2.3066360365556857</v>
      </c>
      <c r="L41" s="4">
        <v>2.1247985352254646</v>
      </c>
      <c r="M41" s="1">
        <v>1.1419966137281008</v>
      </c>
      <c r="N41" s="1">
        <v>2.1955669957075656</v>
      </c>
      <c r="O41" s="1">
        <v>1.9826424823845779</v>
      </c>
      <c r="P41" s="4">
        <v>1.1297477854667859</v>
      </c>
      <c r="Q41" s="4">
        <v>2.1513024705581731</v>
      </c>
      <c r="R41" s="4">
        <v>1.943657803201388</v>
      </c>
      <c r="S41" s="1">
        <v>1.1232128721995631</v>
      </c>
      <c r="T41" s="1">
        <v>2.1831574674516543</v>
      </c>
      <c r="U41" s="1">
        <v>1.9040711931877672</v>
      </c>
      <c r="W41" s="1">
        <f t="shared" si="0"/>
        <v>1.1548957651409908</v>
      </c>
      <c r="X41" s="1">
        <f t="shared" si="1"/>
        <v>1.1451612205380644</v>
      </c>
      <c r="Y41" s="1">
        <f t="shared" si="2"/>
        <v>2.318996783821786</v>
      </c>
      <c r="Z41" s="1">
        <f t="shared" si="3"/>
        <v>2.3386713227564573</v>
      </c>
      <c r="AA41" s="1">
        <f t="shared" si="4"/>
        <v>2.2132846485488145</v>
      </c>
      <c r="AB41" s="1">
        <f t="shared" si="5"/>
        <v>2.1902918183608415</v>
      </c>
      <c r="AD41" s="1">
        <f t="shared" si="6"/>
        <v>1.1451612205380644</v>
      </c>
      <c r="AE41" s="1">
        <f t="shared" si="7"/>
        <v>1.1487869012254637</v>
      </c>
      <c r="AF41" s="1">
        <f t="shared" si="8"/>
        <v>1.1419966137281008</v>
      </c>
      <c r="AG41" s="1">
        <f t="shared" si="9"/>
        <v>2.3386713227564573</v>
      </c>
      <c r="AH41" s="1">
        <f t="shared" si="10"/>
        <v>2.3066360365556857</v>
      </c>
      <c r="AI41" s="1">
        <f t="shared" si="11"/>
        <v>2.1955669957075656</v>
      </c>
      <c r="AJ41" s="1">
        <f t="shared" si="12"/>
        <v>2.1902918183608415</v>
      </c>
      <c r="AK41" s="1">
        <f t="shared" si="13"/>
        <v>2.1247985352254646</v>
      </c>
      <c r="AL41" s="1">
        <f t="shared" si="14"/>
        <v>1.9826424823845779</v>
      </c>
    </row>
    <row r="42" spans="2:38" x14ac:dyDescent="0.25">
      <c r="B42" s="22">
        <v>50</v>
      </c>
      <c r="C42" s="26">
        <v>90</v>
      </c>
      <c r="D42" s="4">
        <v>1.1529917704788533</v>
      </c>
      <c r="E42" s="4">
        <v>2.0292718701150356</v>
      </c>
      <c r="F42" s="4">
        <v>2.2406650732461313</v>
      </c>
      <c r="G42" s="1">
        <v>1.142823383525766</v>
      </c>
      <c r="H42" s="1">
        <v>2.0302539243445095</v>
      </c>
      <c r="I42" s="1">
        <v>2.2106821897758246</v>
      </c>
      <c r="J42" s="4">
        <v>1.1456177395448528</v>
      </c>
      <c r="K42" s="4">
        <v>2.0173384547117621</v>
      </c>
      <c r="L42" s="4">
        <v>2.1557234217396091</v>
      </c>
      <c r="M42" s="1">
        <v>1.1411423268838372</v>
      </c>
      <c r="N42" s="1">
        <v>1.9713932098350104</v>
      </c>
      <c r="O42" s="1">
        <v>2.0195178815121433</v>
      </c>
      <c r="P42" s="4">
        <v>1.1266974169677468</v>
      </c>
      <c r="Q42" s="4">
        <v>1.9189691334093975</v>
      </c>
      <c r="R42" s="4">
        <v>1.9800995760739357</v>
      </c>
      <c r="S42" s="1">
        <v>1.1257973678258468</v>
      </c>
      <c r="T42" s="1">
        <v>1.8911290971619477</v>
      </c>
      <c r="U42" s="1">
        <v>1.9670486415656505</v>
      </c>
      <c r="W42" s="1">
        <f t="shared" si="0"/>
        <v>1.1529917704788533</v>
      </c>
      <c r="X42" s="1">
        <f t="shared" si="1"/>
        <v>1.142823383525766</v>
      </c>
      <c r="Y42" s="1">
        <f t="shared" si="2"/>
        <v>2.0292718701150356</v>
      </c>
      <c r="Z42" s="1">
        <f t="shared" si="3"/>
        <v>2.0302539243445095</v>
      </c>
      <c r="AA42" s="1">
        <f t="shared" si="4"/>
        <v>2.2406650732461313</v>
      </c>
      <c r="AB42" s="1">
        <f t="shared" si="5"/>
        <v>2.2106821897758246</v>
      </c>
      <c r="AD42" s="1">
        <f t="shared" si="6"/>
        <v>1.142823383525766</v>
      </c>
      <c r="AE42" s="1">
        <f t="shared" si="7"/>
        <v>1.1456177395448528</v>
      </c>
      <c r="AF42" s="1">
        <f t="shared" si="8"/>
        <v>1.1411423268838372</v>
      </c>
      <c r="AG42" s="1">
        <f t="shared" si="9"/>
        <v>2.0302539243445095</v>
      </c>
      <c r="AH42" s="1">
        <f t="shared" si="10"/>
        <v>2.0173384547117621</v>
      </c>
      <c r="AI42" s="1">
        <f t="shared" si="11"/>
        <v>1.9713932098350104</v>
      </c>
      <c r="AJ42" s="1">
        <f t="shared" si="12"/>
        <v>2.2106821897758246</v>
      </c>
      <c r="AK42" s="1">
        <f t="shared" si="13"/>
        <v>2.1557234217396091</v>
      </c>
      <c r="AL42" s="1">
        <f t="shared" si="14"/>
        <v>2.0195178815121433</v>
      </c>
    </row>
    <row r="43" spans="2:38" x14ac:dyDescent="0.25">
      <c r="B43" s="22">
        <v>60</v>
      </c>
      <c r="C43" s="26">
        <v>90</v>
      </c>
      <c r="D43" s="4">
        <v>1.1538670045797366</v>
      </c>
      <c r="E43" s="4">
        <v>1.75904215655811</v>
      </c>
      <c r="F43" s="4">
        <v>2.2490735928919778</v>
      </c>
      <c r="G43" s="1">
        <v>1.1431133409082883</v>
      </c>
      <c r="H43" s="1">
        <v>1.7481002426502283</v>
      </c>
      <c r="I43" s="1">
        <v>2.2142765840690664</v>
      </c>
      <c r="J43" s="4">
        <v>1.1431299660996184</v>
      </c>
      <c r="K43" s="4">
        <v>1.7304225763985626</v>
      </c>
      <c r="L43" s="4">
        <v>2.1706604023161682</v>
      </c>
      <c r="M43" s="1">
        <v>1.1369204196090552</v>
      </c>
      <c r="N43" s="1">
        <v>1.7206970143666602</v>
      </c>
      <c r="O43" s="1">
        <v>2.0462715111164513</v>
      </c>
      <c r="P43" s="4">
        <v>1.117912242952122</v>
      </c>
      <c r="Q43" s="4">
        <v>1.6730107783096437</v>
      </c>
      <c r="R43" s="4">
        <v>2.000220126973173</v>
      </c>
      <c r="S43" s="1">
        <v>1.1232703338702672</v>
      </c>
      <c r="T43" s="1">
        <v>1.6046531743751036</v>
      </c>
      <c r="U43" s="1">
        <v>2.018109347267258</v>
      </c>
      <c r="W43" s="1">
        <f t="shared" si="0"/>
        <v>1.1538670045797366</v>
      </c>
      <c r="X43" s="1">
        <f t="shared" si="1"/>
        <v>1.1431133409082883</v>
      </c>
      <c r="Y43" s="1">
        <f t="shared" si="2"/>
        <v>1.75904215655811</v>
      </c>
      <c r="Z43" s="1">
        <f t="shared" si="3"/>
        <v>1.7481002426502283</v>
      </c>
      <c r="AA43" s="1">
        <f t="shared" si="4"/>
        <v>2.2490735928919778</v>
      </c>
      <c r="AB43" s="1">
        <f t="shared" si="5"/>
        <v>2.2142765840690664</v>
      </c>
      <c r="AD43" s="1">
        <f t="shared" si="6"/>
        <v>1.1431133409082883</v>
      </c>
      <c r="AE43" s="1">
        <f t="shared" si="7"/>
        <v>1.1431299660996184</v>
      </c>
      <c r="AF43" s="1">
        <f t="shared" si="8"/>
        <v>1.1369204196090552</v>
      </c>
      <c r="AG43" s="1">
        <f t="shared" si="9"/>
        <v>1.7481002426502283</v>
      </c>
      <c r="AH43" s="1">
        <f t="shared" si="10"/>
        <v>1.7304225763985626</v>
      </c>
      <c r="AI43" s="1">
        <f t="shared" si="11"/>
        <v>1.7206970143666602</v>
      </c>
      <c r="AJ43" s="1">
        <f t="shared" si="12"/>
        <v>2.2142765840690664</v>
      </c>
      <c r="AK43" s="1">
        <f t="shared" si="13"/>
        <v>2.1706604023161682</v>
      </c>
      <c r="AL43" s="1">
        <f t="shared" si="14"/>
        <v>2.0462715111164513</v>
      </c>
    </row>
    <row r="44" spans="2:38" x14ac:dyDescent="0.25">
      <c r="B44" s="22">
        <v>70</v>
      </c>
      <c r="C44" s="26">
        <v>90</v>
      </c>
      <c r="D44" s="4">
        <v>1.1518767500941334</v>
      </c>
      <c r="E44" s="4">
        <v>1.493548558760051</v>
      </c>
      <c r="F44" s="4">
        <v>2.2338448397713941</v>
      </c>
      <c r="G44" s="1">
        <v>1.1407539525003885</v>
      </c>
      <c r="H44" s="1">
        <v>1.4788255984762939</v>
      </c>
      <c r="I44" s="1">
        <v>2.1937218757386368</v>
      </c>
      <c r="J44" s="4">
        <v>1.1380951617176409</v>
      </c>
      <c r="K44" s="4">
        <v>1.4529813010675725</v>
      </c>
      <c r="L44" s="4">
        <v>2.1642725193208325</v>
      </c>
      <c r="M44" s="1">
        <v>1.1298710141822899</v>
      </c>
      <c r="N44" s="1">
        <v>1.4636453018438533</v>
      </c>
      <c r="O44" s="1">
        <v>2.0570907527453239</v>
      </c>
      <c r="P44" s="4">
        <v>1.1070346678233336</v>
      </c>
      <c r="Q44" s="4">
        <v>1.4241271546490017</v>
      </c>
      <c r="R44" s="4">
        <v>1.9984844859284052</v>
      </c>
      <c r="S44" s="1">
        <v>1.1186185399945512</v>
      </c>
      <c r="T44" s="1">
        <v>1.3376401987050599</v>
      </c>
      <c r="U44" s="1">
        <v>2.0296262342764129</v>
      </c>
      <c r="W44" s="1">
        <f t="shared" si="0"/>
        <v>1.1518767500941334</v>
      </c>
      <c r="X44" s="1">
        <f t="shared" si="1"/>
        <v>1.1407539525003885</v>
      </c>
      <c r="Y44" s="1">
        <f t="shared" si="2"/>
        <v>1.493548558760051</v>
      </c>
      <c r="Z44" s="1">
        <f t="shared" si="3"/>
        <v>1.4788255984762939</v>
      </c>
      <c r="AA44" s="1">
        <f t="shared" si="4"/>
        <v>2.2338448397713941</v>
      </c>
      <c r="AB44" s="1">
        <f t="shared" si="5"/>
        <v>2.1937218757386368</v>
      </c>
      <c r="AD44" s="1">
        <f t="shared" si="6"/>
        <v>1.1407539525003885</v>
      </c>
      <c r="AE44" s="1">
        <f t="shared" si="7"/>
        <v>1.1380951617176409</v>
      </c>
      <c r="AF44" s="1">
        <f t="shared" si="8"/>
        <v>1.1298710141822899</v>
      </c>
      <c r="AG44" s="1">
        <f t="shared" si="9"/>
        <v>1.4788255984762939</v>
      </c>
      <c r="AH44" s="1">
        <f t="shared" si="10"/>
        <v>1.4529813010675725</v>
      </c>
      <c r="AI44" s="1">
        <f t="shared" si="11"/>
        <v>1.4636453018438533</v>
      </c>
      <c r="AJ44" s="1">
        <f t="shared" si="12"/>
        <v>2.1937218757386368</v>
      </c>
      <c r="AK44" s="1">
        <f t="shared" si="13"/>
        <v>2.1642725193208325</v>
      </c>
      <c r="AL44" s="1">
        <f t="shared" si="14"/>
        <v>2.0570907527453239</v>
      </c>
    </row>
    <row r="45" spans="2:38" x14ac:dyDescent="0.25">
      <c r="B45" s="23">
        <v>80</v>
      </c>
      <c r="C45" s="27">
        <v>90</v>
      </c>
      <c r="D45" s="4">
        <v>1.1438681111935303</v>
      </c>
      <c r="E45" s="4">
        <v>1.2202830695887987</v>
      </c>
      <c r="F45" s="4">
        <v>2.2175429472752484</v>
      </c>
      <c r="G45" s="1">
        <v>1.1336887225611685</v>
      </c>
      <c r="H45" s="1">
        <v>1.2050355491608937</v>
      </c>
      <c r="I45" s="1">
        <v>2.1718064020312089</v>
      </c>
      <c r="J45" s="4">
        <v>1.129564895871078</v>
      </c>
      <c r="K45" s="4">
        <v>1.1899190011500118</v>
      </c>
      <c r="L45" s="4">
        <v>2.1602895313395849</v>
      </c>
      <c r="M45" s="1">
        <v>1.1212428404372059</v>
      </c>
      <c r="N45" s="1">
        <v>1.2234171808481635</v>
      </c>
      <c r="O45" s="1">
        <v>2.0677895098677364</v>
      </c>
      <c r="P45" s="4">
        <v>1.0986507966822143</v>
      </c>
      <c r="Q45" s="4">
        <v>1.1869562133688702</v>
      </c>
      <c r="R45" s="4">
        <v>1.9967295781081558</v>
      </c>
      <c r="S45" s="1">
        <v>1.1143536377772034</v>
      </c>
      <c r="T45" s="1">
        <v>1.0913701147762471</v>
      </c>
      <c r="U45" s="1">
        <v>2.0032411792849123</v>
      </c>
      <c r="W45" s="1">
        <f t="shared" si="0"/>
        <v>1.1438681111935303</v>
      </c>
      <c r="X45" s="1">
        <f t="shared" si="1"/>
        <v>1.1336887225611685</v>
      </c>
      <c r="Y45" s="1">
        <f t="shared" si="2"/>
        <v>1.2202830695887987</v>
      </c>
      <c r="Z45" s="1">
        <f t="shared" si="3"/>
        <v>1.2050355491608937</v>
      </c>
      <c r="AA45" s="1">
        <f t="shared" si="4"/>
        <v>2.2175429472752484</v>
      </c>
      <c r="AB45" s="1">
        <f t="shared" si="5"/>
        <v>2.1718064020312089</v>
      </c>
      <c r="AD45" s="1">
        <f t="shared" si="6"/>
        <v>1.1336887225611685</v>
      </c>
      <c r="AE45" s="1">
        <f t="shared" si="7"/>
        <v>1.129564895871078</v>
      </c>
      <c r="AF45" s="1">
        <f t="shared" si="8"/>
        <v>1.1212428404372059</v>
      </c>
      <c r="AG45" s="1">
        <f t="shared" si="9"/>
        <v>1.2050355491608937</v>
      </c>
      <c r="AH45" s="1">
        <f t="shared" si="10"/>
        <v>1.1899190011500118</v>
      </c>
      <c r="AI45" s="1">
        <f t="shared" si="11"/>
        <v>1.2234171808481635</v>
      </c>
      <c r="AJ45" s="1">
        <f t="shared" si="12"/>
        <v>2.1718064020312089</v>
      </c>
      <c r="AK45" s="1">
        <f t="shared" si="13"/>
        <v>2.1602895313395849</v>
      </c>
      <c r="AL45" s="1">
        <f t="shared" si="14"/>
        <v>2.0677895098677364</v>
      </c>
    </row>
    <row r="46" spans="2:38" x14ac:dyDescent="0.25">
      <c r="B46" s="21">
        <v>30</v>
      </c>
      <c r="C46" s="25">
        <v>100</v>
      </c>
      <c r="D46" s="4">
        <v>1.1729866078405919</v>
      </c>
      <c r="E46" s="4">
        <v>2.6190354151983417</v>
      </c>
      <c r="F46" s="4">
        <v>2.1219550388390358</v>
      </c>
      <c r="G46" s="1">
        <v>1.1640954838962063</v>
      </c>
      <c r="H46" s="1">
        <v>2.641968672748197</v>
      </c>
      <c r="I46" s="1">
        <v>2.100214421747467</v>
      </c>
      <c r="J46" s="4">
        <v>1.1626759516911576</v>
      </c>
      <c r="K46" s="4">
        <v>2.5756592988654292</v>
      </c>
      <c r="L46" s="4">
        <v>2.030702592047136</v>
      </c>
      <c r="M46" s="1">
        <v>1.1453801303203621</v>
      </c>
      <c r="N46" s="1">
        <v>2.3679781701865532</v>
      </c>
      <c r="O46" s="1">
        <v>1.8841726382298709</v>
      </c>
      <c r="P46" s="4">
        <v>1.1341959036208045</v>
      </c>
      <c r="Q46" s="4">
        <v>2.3130960411525363</v>
      </c>
      <c r="R46" s="4">
        <v>1.8398892809377947</v>
      </c>
      <c r="S46" s="1">
        <v>1.122575448923929</v>
      </c>
      <c r="T46" s="1">
        <v>2.36591017994557</v>
      </c>
      <c r="U46" s="1">
        <v>1.7852951196556486</v>
      </c>
      <c r="W46" s="1">
        <f t="shared" si="0"/>
        <v>1.1729866078405919</v>
      </c>
      <c r="X46" s="1">
        <f t="shared" si="1"/>
        <v>1.1640954838962063</v>
      </c>
      <c r="Y46" s="1">
        <f t="shared" si="2"/>
        <v>2.6190354151983417</v>
      </c>
      <c r="Z46" s="1">
        <f t="shared" si="3"/>
        <v>2.641968672748197</v>
      </c>
      <c r="AA46" s="1">
        <f t="shared" si="4"/>
        <v>2.1219550388390358</v>
      </c>
      <c r="AB46" s="1">
        <f t="shared" si="5"/>
        <v>2.100214421747467</v>
      </c>
      <c r="AD46" s="1">
        <f t="shared" si="6"/>
        <v>1.1640954838962063</v>
      </c>
      <c r="AE46" s="1">
        <f t="shared" si="7"/>
        <v>1.1626759516911576</v>
      </c>
      <c r="AF46" s="1">
        <f t="shared" si="8"/>
        <v>1.1453801303203621</v>
      </c>
      <c r="AG46" s="1">
        <f t="shared" si="9"/>
        <v>2.641968672748197</v>
      </c>
      <c r="AH46" s="1">
        <f t="shared" si="10"/>
        <v>2.5756592988654292</v>
      </c>
      <c r="AI46" s="1">
        <f t="shared" si="11"/>
        <v>2.3679781701865532</v>
      </c>
      <c r="AJ46" s="1">
        <f t="shared" si="12"/>
        <v>2.100214421747467</v>
      </c>
      <c r="AK46" s="1">
        <f t="shared" si="13"/>
        <v>2.030702592047136</v>
      </c>
      <c r="AL46" s="1">
        <f t="shared" si="14"/>
        <v>1.8841726382298709</v>
      </c>
    </row>
    <row r="47" spans="2:38" x14ac:dyDescent="0.25">
      <c r="B47" s="22">
        <v>40</v>
      </c>
      <c r="C47" s="26">
        <v>100</v>
      </c>
      <c r="D47" s="4">
        <v>1.1690172498887108</v>
      </c>
      <c r="E47" s="4">
        <v>2.4063701372309261</v>
      </c>
      <c r="F47" s="4">
        <v>2.1175382039980066</v>
      </c>
      <c r="G47" s="1">
        <v>1.1595511650333048</v>
      </c>
      <c r="H47" s="1">
        <v>2.4249324560015739</v>
      </c>
      <c r="I47" s="1">
        <v>2.0887833603125512</v>
      </c>
      <c r="J47" s="4">
        <v>1.1610557806728692</v>
      </c>
      <c r="K47" s="4">
        <v>2.386254183079151</v>
      </c>
      <c r="L47" s="4">
        <v>2.0279053485986402</v>
      </c>
      <c r="M47" s="1">
        <v>1.1508712833902159</v>
      </c>
      <c r="N47" s="1">
        <v>2.2512928184879897</v>
      </c>
      <c r="O47" s="1">
        <v>1.8884879802170582</v>
      </c>
      <c r="P47" s="4">
        <v>1.1404102061617929</v>
      </c>
      <c r="Q47" s="4">
        <v>2.1846848391760187</v>
      </c>
      <c r="R47" s="4">
        <v>1.8587208703048379</v>
      </c>
      <c r="S47" s="1">
        <v>1.1328145255569708</v>
      </c>
      <c r="T47" s="1">
        <v>2.1854331332503172</v>
      </c>
      <c r="U47" s="1">
        <v>1.8325041756680869</v>
      </c>
      <c r="W47" s="1">
        <f t="shared" si="0"/>
        <v>1.1690172498887108</v>
      </c>
      <c r="X47" s="1">
        <f t="shared" si="1"/>
        <v>1.1595511650333048</v>
      </c>
      <c r="Y47" s="1">
        <f t="shared" si="2"/>
        <v>2.4063701372309261</v>
      </c>
      <c r="Z47" s="1">
        <f t="shared" si="3"/>
        <v>2.4249324560015739</v>
      </c>
      <c r="AA47" s="1">
        <f t="shared" si="4"/>
        <v>2.1175382039980066</v>
      </c>
      <c r="AB47" s="1">
        <f t="shared" si="5"/>
        <v>2.0887833603125512</v>
      </c>
      <c r="AD47" s="1">
        <f t="shared" si="6"/>
        <v>1.1595511650333048</v>
      </c>
      <c r="AE47" s="1">
        <f t="shared" si="7"/>
        <v>1.1610557806728692</v>
      </c>
      <c r="AF47" s="1">
        <f t="shared" si="8"/>
        <v>1.1508712833902159</v>
      </c>
      <c r="AG47" s="1">
        <f t="shared" si="9"/>
        <v>2.4249324560015739</v>
      </c>
      <c r="AH47" s="1">
        <f t="shared" si="10"/>
        <v>2.386254183079151</v>
      </c>
      <c r="AI47" s="1">
        <f t="shared" si="11"/>
        <v>2.2512928184879897</v>
      </c>
      <c r="AJ47" s="1">
        <f t="shared" si="12"/>
        <v>2.0887833603125512</v>
      </c>
      <c r="AK47" s="1">
        <f t="shared" si="13"/>
        <v>2.0279053485986402</v>
      </c>
      <c r="AL47" s="1">
        <f t="shared" si="14"/>
        <v>1.8884879802170582</v>
      </c>
    </row>
    <row r="48" spans="2:38" x14ac:dyDescent="0.25">
      <c r="B48" s="22">
        <v>50</v>
      </c>
      <c r="C48" s="26">
        <v>100</v>
      </c>
      <c r="D48" s="4">
        <v>1.1664074279313505</v>
      </c>
      <c r="E48" s="4">
        <v>2.1136784868145337</v>
      </c>
      <c r="F48" s="4">
        <v>2.1178714693982963</v>
      </c>
      <c r="G48" s="1">
        <v>1.1566042645929782</v>
      </c>
      <c r="H48" s="1">
        <v>2.1211071130155021</v>
      </c>
      <c r="I48" s="1">
        <v>2.0874648056158307</v>
      </c>
      <c r="J48" s="4">
        <v>1.1580069976516132</v>
      </c>
      <c r="K48" s="4">
        <v>2.1023129633087825</v>
      </c>
      <c r="L48" s="4">
        <v>2.0387431253262949</v>
      </c>
      <c r="M48" s="1">
        <v>1.1508989758073374</v>
      </c>
      <c r="N48" s="1">
        <v>2.0446161384417625</v>
      </c>
      <c r="O48" s="1">
        <v>1.912120892029977</v>
      </c>
      <c r="P48" s="4">
        <v>1.1382876134324822</v>
      </c>
      <c r="Q48" s="4">
        <v>1.9805208749038288</v>
      </c>
      <c r="R48" s="4">
        <v>1.8989637143020961</v>
      </c>
      <c r="S48" s="1">
        <v>1.1373520049649892</v>
      </c>
      <c r="T48" s="1">
        <v>1.925614842989031</v>
      </c>
      <c r="U48" s="1">
        <v>1.9103979957714234</v>
      </c>
      <c r="W48" s="1">
        <f t="shared" si="0"/>
        <v>1.1664074279313505</v>
      </c>
      <c r="X48" s="1">
        <f t="shared" si="1"/>
        <v>1.1566042645929782</v>
      </c>
      <c r="Y48" s="1">
        <f t="shared" si="2"/>
        <v>2.1136784868145337</v>
      </c>
      <c r="Z48" s="1">
        <f t="shared" si="3"/>
        <v>2.1211071130155021</v>
      </c>
      <c r="AA48" s="1">
        <f t="shared" si="4"/>
        <v>2.1178714693982963</v>
      </c>
      <c r="AB48" s="1">
        <f t="shared" si="5"/>
        <v>2.0874648056158307</v>
      </c>
      <c r="AD48" s="1">
        <f t="shared" si="6"/>
        <v>1.1566042645929782</v>
      </c>
      <c r="AE48" s="1">
        <f t="shared" si="7"/>
        <v>1.1580069976516132</v>
      </c>
      <c r="AF48" s="1">
        <f t="shared" si="8"/>
        <v>1.1508989758073374</v>
      </c>
      <c r="AG48" s="1">
        <f t="shared" si="9"/>
        <v>2.1211071130155021</v>
      </c>
      <c r="AH48" s="1">
        <f t="shared" si="10"/>
        <v>2.1023129633087825</v>
      </c>
      <c r="AI48" s="1">
        <f t="shared" si="11"/>
        <v>2.0446161384417625</v>
      </c>
      <c r="AJ48" s="1">
        <f t="shared" si="12"/>
        <v>2.0874648056158307</v>
      </c>
      <c r="AK48" s="1">
        <f t="shared" si="13"/>
        <v>2.0387431253262949</v>
      </c>
      <c r="AL48" s="1">
        <f t="shared" si="14"/>
        <v>1.912120892029977</v>
      </c>
    </row>
    <row r="49" spans="2:38" x14ac:dyDescent="0.25">
      <c r="B49" s="22">
        <v>60</v>
      </c>
      <c r="C49" s="26">
        <v>100</v>
      </c>
      <c r="D49" s="4">
        <v>1.1655957661480603</v>
      </c>
      <c r="E49" s="4">
        <v>1.8317439123739139</v>
      </c>
      <c r="F49" s="4">
        <v>2.1041970251170681</v>
      </c>
      <c r="G49" s="1">
        <v>1.1551005663028142</v>
      </c>
      <c r="H49" s="1">
        <v>1.8274609226062206</v>
      </c>
      <c r="I49" s="1">
        <v>2.075094827826768</v>
      </c>
      <c r="J49" s="4">
        <v>1.1541446469918191</v>
      </c>
      <c r="K49" s="4">
        <v>1.8103959196434876</v>
      </c>
      <c r="L49" s="4">
        <v>2.0406448109284212</v>
      </c>
      <c r="M49" s="1">
        <v>1.146202448193675</v>
      </c>
      <c r="N49" s="1">
        <v>1.8044965219897025</v>
      </c>
      <c r="O49" s="1">
        <v>1.9343039954740908</v>
      </c>
      <c r="P49" s="4">
        <v>1.1284317135942121</v>
      </c>
      <c r="Q49" s="4">
        <v>1.7535300022054581</v>
      </c>
      <c r="R49" s="4">
        <v>1.9294095746260864</v>
      </c>
      <c r="S49" s="1">
        <v>1.1353080445468553</v>
      </c>
      <c r="T49" s="1">
        <v>1.6631467423512025</v>
      </c>
      <c r="U49" s="1">
        <v>1.9733955663817713</v>
      </c>
      <c r="W49" s="1">
        <f t="shared" si="0"/>
        <v>1.1655957661480603</v>
      </c>
      <c r="X49" s="1">
        <f t="shared" si="1"/>
        <v>1.1551005663028142</v>
      </c>
      <c r="Y49" s="1">
        <f t="shared" si="2"/>
        <v>1.8317439123739139</v>
      </c>
      <c r="Z49" s="1">
        <f t="shared" si="3"/>
        <v>1.8274609226062206</v>
      </c>
      <c r="AA49" s="1">
        <f t="shared" si="4"/>
        <v>2.1041970251170681</v>
      </c>
      <c r="AB49" s="1">
        <f t="shared" si="5"/>
        <v>2.075094827826768</v>
      </c>
      <c r="AD49" s="1">
        <f t="shared" si="6"/>
        <v>1.1551005663028142</v>
      </c>
      <c r="AE49" s="1">
        <f t="shared" si="7"/>
        <v>1.1541446469918191</v>
      </c>
      <c r="AF49" s="1">
        <f t="shared" si="8"/>
        <v>1.146202448193675</v>
      </c>
      <c r="AG49" s="1">
        <f t="shared" si="9"/>
        <v>1.8274609226062206</v>
      </c>
      <c r="AH49" s="1">
        <f t="shared" si="10"/>
        <v>1.8103959196434876</v>
      </c>
      <c r="AI49" s="1">
        <f t="shared" si="11"/>
        <v>1.8044965219897025</v>
      </c>
      <c r="AJ49" s="1">
        <f t="shared" si="12"/>
        <v>2.075094827826768</v>
      </c>
      <c r="AK49" s="1">
        <f t="shared" si="13"/>
        <v>2.0406448109284212</v>
      </c>
      <c r="AL49" s="1">
        <f t="shared" si="14"/>
        <v>1.9343039954740908</v>
      </c>
    </row>
    <row r="50" spans="2:38" x14ac:dyDescent="0.25">
      <c r="B50" s="22">
        <v>70</v>
      </c>
      <c r="C50" s="26">
        <v>100</v>
      </c>
      <c r="D50" s="4">
        <v>1.1625658789128033</v>
      </c>
      <c r="E50" s="4">
        <v>1.5693854789622712</v>
      </c>
      <c r="F50" s="4">
        <v>2.0837448740719129</v>
      </c>
      <c r="G50" s="1">
        <v>1.1517283199477304</v>
      </c>
      <c r="H50" s="1">
        <v>1.5583400967124856</v>
      </c>
      <c r="I50" s="1">
        <v>2.0549025116078656</v>
      </c>
      <c r="J50" s="4">
        <v>1.1479660246448344</v>
      </c>
      <c r="K50" s="4">
        <v>1.5379281223310859</v>
      </c>
      <c r="L50" s="4">
        <v>2.0366213072160706</v>
      </c>
      <c r="M50" s="1">
        <v>1.1381150243160021</v>
      </c>
      <c r="N50" s="1">
        <v>1.5574994045818089</v>
      </c>
      <c r="O50" s="1">
        <v>1.9521892315308313</v>
      </c>
      <c r="P50" s="4">
        <v>1.1155243815528701</v>
      </c>
      <c r="Q50" s="4">
        <v>1.5193676956234636</v>
      </c>
      <c r="R50" s="4">
        <v>1.941931186620161</v>
      </c>
      <c r="S50" s="1">
        <v>1.1289994652476674</v>
      </c>
      <c r="T50" s="1">
        <v>1.4091928901842175</v>
      </c>
      <c r="U50" s="1">
        <v>1.9887672379285843</v>
      </c>
      <c r="W50" s="1">
        <f t="shared" si="0"/>
        <v>1.1625658789128033</v>
      </c>
      <c r="X50" s="1">
        <f t="shared" si="1"/>
        <v>1.1517283199477304</v>
      </c>
      <c r="Y50" s="1">
        <f t="shared" si="2"/>
        <v>1.5693854789622712</v>
      </c>
      <c r="Z50" s="1">
        <f t="shared" si="3"/>
        <v>1.5583400967124856</v>
      </c>
      <c r="AA50" s="1">
        <f t="shared" si="4"/>
        <v>2.0837448740719129</v>
      </c>
      <c r="AB50" s="1">
        <f t="shared" si="5"/>
        <v>2.0549025116078656</v>
      </c>
      <c r="AD50" s="1">
        <f t="shared" si="6"/>
        <v>1.1517283199477304</v>
      </c>
      <c r="AE50" s="1">
        <f t="shared" si="7"/>
        <v>1.1479660246448344</v>
      </c>
      <c r="AF50" s="1">
        <f t="shared" si="8"/>
        <v>1.1381150243160021</v>
      </c>
      <c r="AG50" s="1">
        <f t="shared" si="9"/>
        <v>1.5583400967124856</v>
      </c>
      <c r="AH50" s="1">
        <f t="shared" si="10"/>
        <v>1.5379281223310859</v>
      </c>
      <c r="AI50" s="1">
        <f t="shared" si="11"/>
        <v>1.5574994045818089</v>
      </c>
      <c r="AJ50" s="1">
        <f t="shared" si="12"/>
        <v>2.0549025116078656</v>
      </c>
      <c r="AK50" s="1">
        <f t="shared" si="13"/>
        <v>2.0366213072160706</v>
      </c>
      <c r="AL50" s="1">
        <f t="shared" si="14"/>
        <v>1.9521892315308313</v>
      </c>
    </row>
    <row r="51" spans="2:38" x14ac:dyDescent="0.25">
      <c r="B51" s="23">
        <v>80</v>
      </c>
      <c r="C51" s="27">
        <v>100</v>
      </c>
      <c r="D51" s="4">
        <v>1.1542953268031488</v>
      </c>
      <c r="E51" s="4">
        <v>1.3150460653106293</v>
      </c>
      <c r="F51" s="4">
        <v>2.0813781661507118</v>
      </c>
      <c r="G51" s="1">
        <v>1.1446561742939294</v>
      </c>
      <c r="H51" s="1">
        <v>1.3019936572750732</v>
      </c>
      <c r="I51" s="1">
        <v>2.0506502109014475</v>
      </c>
      <c r="J51" s="4">
        <v>1.1389531325336788</v>
      </c>
      <c r="K51" s="4">
        <v>1.2920555546233639</v>
      </c>
      <c r="L51" s="4">
        <v>2.0494946985480169</v>
      </c>
      <c r="M51" s="1">
        <v>1.1282469876804091</v>
      </c>
      <c r="N51" s="1">
        <v>1.3269724437335084</v>
      </c>
      <c r="O51" s="1">
        <v>1.9786413810721575</v>
      </c>
      <c r="P51" s="4">
        <v>1.1049875916753289</v>
      </c>
      <c r="Q51" s="4">
        <v>1.2937714015757429</v>
      </c>
      <c r="R51" s="4">
        <v>1.9537814551018924</v>
      </c>
      <c r="S51" s="1">
        <v>1.1213843685525648</v>
      </c>
      <c r="T51" s="1">
        <v>1.1657119684474184</v>
      </c>
      <c r="U51" s="1">
        <v>1.960631099621196</v>
      </c>
      <c r="W51" s="1">
        <f t="shared" si="0"/>
        <v>1.1542953268031488</v>
      </c>
      <c r="X51" s="1">
        <f t="shared" si="1"/>
        <v>1.1446561742939294</v>
      </c>
      <c r="Y51" s="1">
        <f t="shared" si="2"/>
        <v>1.3150460653106293</v>
      </c>
      <c r="Z51" s="1">
        <f t="shared" si="3"/>
        <v>1.3019936572750732</v>
      </c>
      <c r="AA51" s="1">
        <f t="shared" si="4"/>
        <v>2.0813781661507118</v>
      </c>
      <c r="AB51" s="1">
        <f t="shared" si="5"/>
        <v>2.0506502109014475</v>
      </c>
      <c r="AD51" s="1">
        <f t="shared" si="6"/>
        <v>1.1446561742939294</v>
      </c>
      <c r="AE51" s="1">
        <f t="shared" si="7"/>
        <v>1.1389531325336788</v>
      </c>
      <c r="AF51" s="1">
        <f t="shared" si="8"/>
        <v>1.1282469876804091</v>
      </c>
      <c r="AG51" s="1">
        <f t="shared" si="9"/>
        <v>1.3019936572750732</v>
      </c>
      <c r="AH51" s="1">
        <f t="shared" si="10"/>
        <v>1.2920555546233639</v>
      </c>
      <c r="AI51" s="1">
        <f t="shared" si="11"/>
        <v>1.3269724437335084</v>
      </c>
      <c r="AJ51" s="1">
        <f t="shared" si="12"/>
        <v>2.0506502109014475</v>
      </c>
      <c r="AK51" s="1">
        <f t="shared" si="13"/>
        <v>2.0494946985480169</v>
      </c>
      <c r="AL51" s="1">
        <f t="shared" si="14"/>
        <v>1.9786413810721575</v>
      </c>
    </row>
  </sheetData>
  <mergeCells count="20">
    <mergeCell ref="AD3:AF3"/>
    <mergeCell ref="AG3:AI3"/>
    <mergeCell ref="AJ3:AL3"/>
    <mergeCell ref="AD1:AL1"/>
    <mergeCell ref="Q1:Q2"/>
    <mergeCell ref="S1:S2"/>
    <mergeCell ref="T1:T2"/>
    <mergeCell ref="W3:X3"/>
    <mergeCell ref="Y3:Z3"/>
    <mergeCell ref="AA3:AB3"/>
    <mergeCell ref="W1:AB1"/>
    <mergeCell ref="D1:D2"/>
    <mergeCell ref="E1:E2"/>
    <mergeCell ref="G1:G2"/>
    <mergeCell ref="H1:H2"/>
    <mergeCell ref="J1:J2"/>
    <mergeCell ref="K1:K2"/>
    <mergeCell ref="M1:M2"/>
    <mergeCell ref="N1:N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VolumetricModelExport</vt:lpstr>
      <vt:lpstr>Summary</vt:lpstr>
      <vt:lpstr>Sensitivities</vt:lpstr>
    </vt:vector>
  </TitlesOfParts>
  <Company>Sauber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Eddison, James</dc:creator>
  <cp:lastModifiedBy>Matteo.Paganini</cp:lastModifiedBy>
  <dcterms:created xsi:type="dcterms:W3CDTF">2021-05-19T08:44:11Z</dcterms:created>
  <dcterms:modified xsi:type="dcterms:W3CDTF">2021-05-19T16:56:59Z</dcterms:modified>
</cp:coreProperties>
</file>