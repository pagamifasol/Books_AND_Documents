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Paganini\Desktop\"/>
    </mc:Choice>
  </mc:AlternateContent>
  <xr:revisionPtr revIDLastSave="0" documentId="13_ncr:1_{A9957CC7-F01A-4B46-B540-9E6629DDBE1E}" xr6:coauthVersionLast="47" xr6:coauthVersionMax="47" xr10:uidLastSave="{00000000-0000-0000-0000-000000000000}"/>
  <bookViews>
    <workbookView xWindow="-120" yWindow="-120" windowWidth="29040" windowHeight="15840" xr2:uid="{90439CBE-346C-4767-878E-30E3ED467A61}"/>
  </bookViews>
  <sheets>
    <sheet name="Summary" sheetId="6" r:id="rId1"/>
    <sheet name="435" sheetId="1" r:id="rId2"/>
    <sheet name="1" sheetId="2" r:id="rId3"/>
    <sheet name="874" sheetId="3" r:id="rId4"/>
    <sheet name="2_Riparata" sheetId="5" r:id="rId5"/>
    <sheet name="2_RiparataV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6" l="1"/>
  <c r="N6" i="6"/>
  <c r="N4" i="6"/>
  <c r="D4" i="7"/>
  <c r="D5" i="7"/>
  <c r="D6" i="7"/>
  <c r="D7" i="7"/>
  <c r="D8" i="7"/>
  <c r="D9" i="7"/>
  <c r="D10" i="7"/>
  <c r="C5" i="7"/>
  <c r="C6" i="7"/>
  <c r="C7" i="7"/>
  <c r="C8" i="7"/>
  <c r="C9" i="7"/>
  <c r="C10" i="7"/>
  <c r="E10" i="7" s="1"/>
  <c r="G10" i="7" s="1" a="1"/>
  <c r="G10" i="7" s="1"/>
  <c r="E8" i="7"/>
  <c r="E9" i="7"/>
  <c r="C4" i="7"/>
  <c r="F97" i="7"/>
  <c r="F96" i="7"/>
  <c r="E30" i="7"/>
  <c r="G30" i="7" s="1" a="1"/>
  <c r="G30" i="7" s="1"/>
  <c r="E29" i="7"/>
  <c r="E28" i="7"/>
  <c r="E27" i="7"/>
  <c r="E26" i="7"/>
  <c r="E25" i="7"/>
  <c r="E24" i="7"/>
  <c r="E20" i="7"/>
  <c r="E19" i="7"/>
  <c r="E18" i="7"/>
  <c r="E17" i="7"/>
  <c r="G20" i="7" s="1" a="1"/>
  <c r="G20" i="7" s="1"/>
  <c r="E16" i="7"/>
  <c r="E15" i="7"/>
  <c r="E14" i="7"/>
  <c r="E7" i="7"/>
  <c r="E6" i="7"/>
  <c r="E5" i="7"/>
  <c r="E4" i="7"/>
  <c r="L4" i="6"/>
  <c r="K5" i="6"/>
  <c r="L5" i="6"/>
  <c r="M5" i="6"/>
  <c r="K6" i="6"/>
  <c r="L6" i="6"/>
  <c r="M6" i="6"/>
  <c r="M4" i="6"/>
  <c r="K4" i="6"/>
  <c r="J4" i="6"/>
  <c r="J5" i="6"/>
  <c r="J6" i="6"/>
  <c r="J36" i="2"/>
  <c r="I36" i="2"/>
  <c r="H36" i="2"/>
  <c r="G36" i="2"/>
  <c r="H33" i="2"/>
  <c r="G33" i="2"/>
  <c r="H34" i="2"/>
  <c r="G34" i="2"/>
  <c r="H97" i="1"/>
  <c r="I97" i="1"/>
  <c r="F97" i="5"/>
  <c r="F96" i="5"/>
  <c r="E30" i="5"/>
  <c r="E29" i="5"/>
  <c r="E28" i="5"/>
  <c r="E27" i="5"/>
  <c r="E26" i="5"/>
  <c r="E25" i="5"/>
  <c r="E24" i="5"/>
  <c r="E20" i="5"/>
  <c r="E19" i="5"/>
  <c r="G20" i="5" s="1" a="1"/>
  <c r="G20" i="5" s="1"/>
  <c r="E18" i="5"/>
  <c r="E17" i="5"/>
  <c r="E16" i="5"/>
  <c r="E15" i="5"/>
  <c r="E14" i="5"/>
  <c r="E10" i="5"/>
  <c r="G10" i="5" s="1" a="1"/>
  <c r="G10" i="5" s="1"/>
  <c r="E9" i="5"/>
  <c r="E8" i="5"/>
  <c r="E7" i="5"/>
  <c r="E6" i="5"/>
  <c r="E5" i="5"/>
  <c r="E4" i="5"/>
  <c r="F97" i="3"/>
  <c r="F96" i="3"/>
  <c r="E30" i="3"/>
  <c r="E29" i="3"/>
  <c r="E28" i="3"/>
  <c r="E27" i="3"/>
  <c r="E26" i="3"/>
  <c r="E25" i="3"/>
  <c r="E24" i="3"/>
  <c r="E20" i="3"/>
  <c r="G20" i="3" s="1" a="1"/>
  <c r="G20" i="3" s="1"/>
  <c r="E19" i="3"/>
  <c r="E18" i="3"/>
  <c r="E17" i="3"/>
  <c r="E16" i="3"/>
  <c r="E15" i="3"/>
  <c r="E14" i="3"/>
  <c r="G10" i="3" a="1"/>
  <c r="G10" i="3" s="1"/>
  <c r="E10" i="3"/>
  <c r="E9" i="3"/>
  <c r="E8" i="3"/>
  <c r="E7" i="3"/>
  <c r="E6" i="3"/>
  <c r="E5" i="3"/>
  <c r="E4" i="3"/>
  <c r="G20" i="2" a="1"/>
  <c r="G20" i="2" s="1"/>
  <c r="G10" i="2" a="1"/>
  <c r="G10" i="2" s="1"/>
  <c r="G30" i="2" a="1"/>
  <c r="G30" i="2" s="1"/>
  <c r="F96" i="2"/>
  <c r="E30" i="2"/>
  <c r="E29" i="2"/>
  <c r="E28" i="2"/>
  <c r="E27" i="2"/>
  <c r="E26" i="2"/>
  <c r="E25" i="2"/>
  <c r="E24" i="2"/>
  <c r="E20" i="2"/>
  <c r="E19" i="2"/>
  <c r="E18" i="2"/>
  <c r="E17" i="2"/>
  <c r="E16" i="2"/>
  <c r="E15" i="2"/>
  <c r="E14" i="2"/>
  <c r="E10" i="2"/>
  <c r="E9" i="2"/>
  <c r="E8" i="2"/>
  <c r="E7" i="2"/>
  <c r="E6" i="2"/>
  <c r="E5" i="2"/>
  <c r="E4" i="2"/>
  <c r="H94" i="1" a="1"/>
  <c r="I96" i="1" s="1"/>
  <c r="H84" i="1" a="1"/>
  <c r="H84" i="1" s="1"/>
  <c r="H74" i="1" a="1"/>
  <c r="H74" i="1" s="1"/>
  <c r="D94" i="1"/>
  <c r="D93" i="1"/>
  <c r="D92" i="1"/>
  <c r="D91" i="1"/>
  <c r="D90" i="1"/>
  <c r="D89" i="1"/>
  <c r="D88" i="1"/>
  <c r="D84" i="1"/>
  <c r="D83" i="1"/>
  <c r="D82" i="1"/>
  <c r="D81" i="1"/>
  <c r="D80" i="1"/>
  <c r="D79" i="1"/>
  <c r="D78" i="1"/>
  <c r="D74" i="1"/>
  <c r="D73" i="1"/>
  <c r="D72" i="1"/>
  <c r="D71" i="1"/>
  <c r="D70" i="1"/>
  <c r="D69" i="1"/>
  <c r="D68" i="1"/>
  <c r="D63" i="1"/>
  <c r="D62" i="1"/>
  <c r="D61" i="1"/>
  <c r="D60" i="1"/>
  <c r="D59" i="1"/>
  <c r="D58" i="1"/>
  <c r="D57" i="1"/>
  <c r="D48" i="1"/>
  <c r="D49" i="1"/>
  <c r="D50" i="1"/>
  <c r="D51" i="1"/>
  <c r="D52" i="1"/>
  <c r="D53" i="1"/>
  <c r="D47" i="1"/>
  <c r="D38" i="1"/>
  <c r="D39" i="1"/>
  <c r="D40" i="1"/>
  <c r="D41" i="1"/>
  <c r="D42" i="1"/>
  <c r="D43" i="1"/>
  <c r="D37" i="1"/>
  <c r="D30" i="1"/>
  <c r="D31" i="1"/>
  <c r="D32" i="1"/>
  <c r="D33" i="1"/>
  <c r="D29" i="1"/>
  <c r="F20" i="1"/>
  <c r="F21" i="1"/>
  <c r="F22" i="1"/>
  <c r="F23" i="1"/>
  <c r="F24" i="1"/>
  <c r="F25" i="1"/>
  <c r="D19" i="1"/>
  <c r="F19" i="1"/>
  <c r="D20" i="1"/>
  <c r="D21" i="1"/>
  <c r="D22" i="1"/>
  <c r="D23" i="1"/>
  <c r="D24" i="1"/>
  <c r="D25" i="1"/>
  <c r="F6" i="1"/>
  <c r="F7" i="1"/>
  <c r="F8" i="1"/>
  <c r="F9" i="1"/>
  <c r="F10" i="1"/>
  <c r="F11" i="1"/>
  <c r="F12" i="1"/>
  <c r="F13" i="1"/>
  <c r="F14" i="1"/>
  <c r="F15" i="1"/>
  <c r="F5" i="1"/>
  <c r="D6" i="1"/>
  <c r="D7" i="1"/>
  <c r="D8" i="1"/>
  <c r="D9" i="1"/>
  <c r="D10" i="1"/>
  <c r="D11" i="1"/>
  <c r="D12" i="1"/>
  <c r="D13" i="1"/>
  <c r="D14" i="1"/>
  <c r="D15" i="1"/>
  <c r="D5" i="1"/>
  <c r="G33" i="7" l="1"/>
  <c r="G36" i="7" s="1"/>
  <c r="G34" i="7"/>
  <c r="H36" i="7" s="1"/>
  <c r="H34" i="7"/>
  <c r="J36" i="7" s="1"/>
  <c r="H33" i="7"/>
  <c r="I36" i="7" s="1"/>
  <c r="G30" i="5" a="1"/>
  <c r="G30" i="5" s="1"/>
  <c r="G34" i="5" s="1"/>
  <c r="H36" i="5" s="1"/>
  <c r="G30" i="3" a="1"/>
  <c r="G30" i="3" s="1"/>
  <c r="G33" i="3" s="1"/>
  <c r="G36" i="3" s="1"/>
  <c r="F97" i="2"/>
  <c r="H94" i="1"/>
  <c r="H96" i="1" s="1"/>
  <c r="G24" i="1"/>
  <c r="G22" i="1"/>
  <c r="G23" i="1"/>
  <c r="G21" i="1"/>
  <c r="G25" i="1"/>
  <c r="H34" i="5" l="1"/>
  <c r="J36" i="5" s="1"/>
  <c r="H33" i="5"/>
  <c r="I36" i="5" s="1"/>
  <c r="G33" i="5"/>
  <c r="G36" i="5" s="1"/>
  <c r="G34" i="3"/>
  <c r="H36" i="3" s="1"/>
  <c r="H34" i="3"/>
  <c r="J36" i="3" s="1"/>
  <c r="H33" i="3"/>
  <c r="I3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<sst xmlns="http://schemas.openxmlformats.org/spreadsheetml/2006/main" count="194" uniqueCount="36">
  <si>
    <t>Loadcell output [mV]</t>
  </si>
  <si>
    <t>Travel [mm]</t>
  </si>
  <si>
    <t>Machine Force [lbs]</t>
  </si>
  <si>
    <t>Machine Force [N]</t>
  </si>
  <si>
    <t>Loadcell force [N]</t>
  </si>
  <si>
    <t>Senza molla (come da calibrazione Texense)</t>
  </si>
  <si>
    <t>Molla 170 N/mm</t>
  </si>
  <si>
    <t>Spring K meas.</t>
  </si>
  <si>
    <t>Machine force looks ok</t>
  </si>
  <si>
    <t>Con molla e tazza porta-molla (misura 1)</t>
  </si>
  <si>
    <t>Con molla e tazza porta-molla (misura 2)</t>
  </si>
  <si>
    <t>Con molla e tazza porta-molla (misura 3)</t>
  </si>
  <si>
    <t>.</t>
  </si>
  <si>
    <t>Con molla e tazza porta-molla (misura 4)</t>
  </si>
  <si>
    <t>Con molla e tazza porta-molla (misura 5)</t>
  </si>
  <si>
    <t>*molla molto storta</t>
  </si>
  <si>
    <t>Spacer rigido sul perch (misura 1)</t>
  </si>
  <si>
    <t>Spacer rigido sul perch (misura 2)</t>
  </si>
  <si>
    <t>Spacer rigido sul perch (misura 3)</t>
  </si>
  <si>
    <t>m</t>
  </si>
  <si>
    <t>q</t>
  </si>
  <si>
    <t>Average misure 2 e 3</t>
  </si>
  <si>
    <t>AVG</t>
  </si>
  <si>
    <t>Loadcell output [V]</t>
  </si>
  <si>
    <t>Serial number</t>
  </si>
  <si>
    <t>Gain</t>
  </si>
  <si>
    <t>Offset</t>
  </si>
  <si>
    <t>Gain Variance</t>
  </si>
  <si>
    <t>2_Riparata</t>
  </si>
  <si>
    <t>DEV. STD</t>
  </si>
  <si>
    <t>Summary</t>
  </si>
  <si>
    <t>Offset Variance</t>
  </si>
  <si>
    <t>mV</t>
  </si>
  <si>
    <t>N</t>
  </si>
  <si>
    <t>2_riparata</t>
  </si>
  <si>
    <t>2_RiparataV2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</si>
</sst>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3" borderId="1" applyNumberFormat="0" applyAlignment="0" applyProtection="0"/>
    <xf numFmtId="0" fontId="5" fillId="4" borderId="2" applyNumberFormat="0" applyAlignment="0" applyProtection="0"/>
    <xf numFmtId="0" fontId="6" fillId="4" borderId="1" applyNumberFormat="0" applyAlignment="0" applyProtection="0"/>
  </cellStyleXfs>
  <cellXfs count="52">
    <xf numFmtId="0" fontId="0" fillId="0" borderId="0" xfId="0"/>
    <xf numFmtId="0" fontId="3" fillId="0" borderId="0" xfId="0" applyFont="1"/>
    <xf numFmtId="1" fontId="0" fillId="0" borderId="0" xfId="0" applyNumberFormat="1"/>
    <xf numFmtId="1" fontId="0" fillId="2" borderId="0" xfId="0" applyNumberFormat="1" applyFill="1"/>
    <xf numFmtId="164" fontId="0" fillId="0" borderId="0" xfId="1" applyNumberFormat="1" applyFont="1"/>
    <xf numFmtId="0" fontId="3" fillId="0" borderId="3" xfId="0" applyFont="1" applyBorder="1"/>
    <xf numFmtId="0" fontId="3" fillId="0" borderId="4" xfId="0" applyFont="1" applyBorder="1"/>
    <xf numFmtId="0" fontId="0" fillId="0" borderId="4" xfId="0" applyBorder="1"/>
    <xf numFmtId="0" fontId="0" fillId="0" borderId="5" xfId="0" applyBorder="1"/>
    <xf numFmtId="0" fontId="3" fillId="0" borderId="6" xfId="0" applyFont="1" applyBorder="1"/>
    <xf numFmtId="0" fontId="3" fillId="0" borderId="0" xfId="0" applyFont="1" applyBorder="1"/>
    <xf numFmtId="0" fontId="0" fillId="0" borderId="0" xfId="0" applyBorder="1"/>
    <xf numFmtId="0" fontId="0" fillId="0" borderId="7" xfId="0" applyBorder="1"/>
    <xf numFmtId="0" fontId="2" fillId="0" borderId="6" xfId="0" applyFont="1" applyBorder="1"/>
    <xf numFmtId="1" fontId="0" fillId="0" borderId="0" xfId="0" applyNumberFormat="1" applyBorder="1"/>
    <xf numFmtId="0" fontId="0" fillId="0" borderId="6" xfId="0" applyBorder="1"/>
    <xf numFmtId="0" fontId="3" fillId="0" borderId="7" xfId="0" applyFont="1" applyBorder="1"/>
    <xf numFmtId="1" fontId="0" fillId="0" borderId="7" xfId="0" applyNumberFormat="1" applyBorder="1"/>
    <xf numFmtId="1" fontId="0" fillId="2" borderId="0" xfId="0" applyNumberFormat="1" applyFill="1" applyBorder="1"/>
    <xf numFmtId="1" fontId="0" fillId="2" borderId="7" xfId="0" applyNumberFormat="1" applyFill="1" applyBorder="1"/>
    <xf numFmtId="0" fontId="0" fillId="0" borderId="8" xfId="0" applyBorder="1"/>
    <xf numFmtId="0" fontId="0" fillId="0" borderId="9" xfId="0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1" fontId="0" fillId="5" borderId="0" xfId="0" applyNumberFormat="1" applyFill="1" applyAlignment="1">
      <alignment horizontal="left"/>
    </xf>
    <xf numFmtId="164" fontId="0" fillId="5" borderId="0" xfId="1" applyNumberFormat="1" applyFont="1" applyFill="1" applyAlignment="1">
      <alignment horizontal="left"/>
    </xf>
    <xf numFmtId="1" fontId="0" fillId="6" borderId="0" xfId="0" applyNumberFormat="1" applyFill="1" applyAlignment="1">
      <alignment horizontal="left"/>
    </xf>
    <xf numFmtId="164" fontId="0" fillId="6" borderId="0" xfId="0" applyNumberFormat="1" applyFill="1" applyAlignment="1">
      <alignment horizontal="left"/>
    </xf>
    <xf numFmtId="1" fontId="0" fillId="0" borderId="9" xfId="0" applyNumberFormat="1" applyBorder="1"/>
    <xf numFmtId="1" fontId="0" fillId="0" borderId="10" xfId="0" applyNumberFormat="1" applyBorder="1"/>
    <xf numFmtId="0" fontId="3" fillId="0" borderId="5" xfId="0" applyFont="1" applyBorder="1"/>
    <xf numFmtId="0" fontId="0" fillId="0" borderId="10" xfId="0" applyBorder="1"/>
    <xf numFmtId="0" fontId="4" fillId="3" borderId="1" xfId="2" applyBorder="1"/>
    <xf numFmtId="165" fontId="4" fillId="3" borderId="1" xfId="2" applyNumberFormat="1" applyBorder="1"/>
    <xf numFmtId="1" fontId="6" fillId="4" borderId="1" xfId="4" applyNumberFormat="1" applyBorder="1"/>
    <xf numFmtId="0" fontId="4" fillId="3" borderId="11" xfId="2" applyBorder="1"/>
    <xf numFmtId="1" fontId="6" fillId="4" borderId="11" xfId="4" applyNumberFormat="1" applyBorder="1"/>
    <xf numFmtId="1" fontId="5" fillId="4" borderId="12" xfId="3" applyNumberFormat="1" applyBorder="1"/>
    <xf numFmtId="1" fontId="5" fillId="4" borderId="13" xfId="3" applyNumberFormat="1" applyBorder="1"/>
    <xf numFmtId="0" fontId="7" fillId="0" borderId="3" xfId="0" applyFont="1" applyBorder="1"/>
    <xf numFmtId="1" fontId="0" fillId="0" borderId="4" xfId="0" applyNumberFormat="1" applyBorder="1"/>
    <xf numFmtId="0" fontId="7" fillId="0" borderId="6" xfId="0" applyFont="1" applyBorder="1"/>
    <xf numFmtId="164" fontId="0" fillId="0" borderId="0" xfId="1" applyNumberFormat="1" applyFont="1" applyBorder="1"/>
    <xf numFmtId="164" fontId="0" fillId="0" borderId="9" xfId="0" applyNumberFormat="1" applyBorder="1"/>
    <xf numFmtId="164" fontId="0" fillId="0" borderId="10" xfId="0" applyNumberFormat="1" applyBorder="1"/>
    <xf numFmtId="1" fontId="0" fillId="0" borderId="0" xfId="0" applyNumberFormat="1" applyAlignment="1">
      <alignment horizontal="left"/>
    </xf>
    <xf numFmtId="0" fontId="2" fillId="3" borderId="1" xfId="2" applyFont="1" applyBorder="1"/>
    <xf numFmtId="165" fontId="2" fillId="3" borderId="1" xfId="2" applyNumberFormat="1" applyFont="1" applyBorder="1"/>
    <xf numFmtId="0" fontId="2" fillId="3" borderId="11" xfId="2" applyFont="1" applyBorder="1"/>
    <xf numFmtId="164" fontId="0" fillId="6" borderId="0" xfId="1" applyNumberFormat="1" applyFont="1" applyFill="1" applyAlignment="1">
      <alignment horizontal="left"/>
    </xf>
  </cellXfs>
  <cellStyles count="5">
    <cellStyle name="Calculation" xfId="4" builtinId="22"/>
    <cellStyle name="Input" xfId="2" builtinId="20"/>
    <cellStyle name="Normal" xfId="0" builtinId="0"/>
    <cellStyle name="Output" xfId="3" builtinId="21"/>
    <cellStyle name="Percent" xfId="1" builtinId="5"/>
  </cellStyles>
  <dxfs count="7">
    <dxf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Forza</a:t>
            </a:r>
            <a:r>
              <a:rPr lang="en-GB" b="1" baseline="0"/>
              <a:t> l</a:t>
            </a:r>
            <a:r>
              <a:rPr lang="en-GB" b="1"/>
              <a:t>oadcell [N] / macchina [lbs]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7"/>
          <c:order val="7"/>
          <c:tx>
            <c:v>Spacer rigido 2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'435'!$E$78:$E$84</c:f>
              <c:numCache>
                <c:formatCode>General</c:formatCode>
                <c:ptCount val="7"/>
                <c:pt idx="0">
                  <c:v>1.226</c:v>
                </c:pt>
                <c:pt idx="1">
                  <c:v>1.365</c:v>
                </c:pt>
                <c:pt idx="2">
                  <c:v>1.516</c:v>
                </c:pt>
                <c:pt idx="3">
                  <c:v>1.6659999999999999</c:v>
                </c:pt>
                <c:pt idx="4">
                  <c:v>1.7889999999999999</c:v>
                </c:pt>
                <c:pt idx="5">
                  <c:v>1.923</c:v>
                </c:pt>
                <c:pt idx="6">
                  <c:v>2.0979999999999999</c:v>
                </c:pt>
              </c:numCache>
            </c:numRef>
          </c:xVal>
          <c:yVal>
            <c:numRef>
              <c:f>'435'!$D$78:$D$84</c:f>
              <c:numCache>
                <c:formatCode>0</c:formatCode>
                <c:ptCount val="7"/>
                <c:pt idx="0">
                  <c:v>22.240000000000002</c:v>
                </c:pt>
                <c:pt idx="1">
                  <c:v>1512.3200000000002</c:v>
                </c:pt>
                <c:pt idx="2">
                  <c:v>2935.6800000000003</c:v>
                </c:pt>
                <c:pt idx="3">
                  <c:v>4336.8</c:v>
                </c:pt>
                <c:pt idx="4">
                  <c:v>5488.8320000000003</c:v>
                </c:pt>
                <c:pt idx="5">
                  <c:v>6747.6160000000009</c:v>
                </c:pt>
                <c:pt idx="6">
                  <c:v>8362.2400000000016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31D-40F4-9907-95A0378488B8}"/>
            </c:ext>
          </c:extLst>
        </c:ser>
        <c:ser>
          <c:idx val="8"/>
          <c:order val="8"/>
          <c:tx>
            <c:v>Spacer rigido 3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'435'!$E$88:$E$94</c:f>
              <c:numCache>
                <c:formatCode>General</c:formatCode>
                <c:ptCount val="7"/>
                <c:pt idx="0">
                  <c:v>1.2370000000000001</c:v>
                </c:pt>
                <c:pt idx="1">
                  <c:v>1.3620000000000001</c:v>
                </c:pt>
                <c:pt idx="2">
                  <c:v>1.5029999999999999</c:v>
                </c:pt>
                <c:pt idx="3">
                  <c:v>1.641</c:v>
                </c:pt>
                <c:pt idx="4">
                  <c:v>1.786</c:v>
                </c:pt>
                <c:pt idx="5">
                  <c:v>1.9239999999999999</c:v>
                </c:pt>
                <c:pt idx="6">
                  <c:v>2.0840000000000001</c:v>
                </c:pt>
              </c:numCache>
            </c:numRef>
          </c:xVal>
          <c:yVal>
            <c:numRef>
              <c:f>'435'!$D$88:$D$94</c:f>
              <c:numCache>
                <c:formatCode>0</c:formatCode>
                <c:ptCount val="7"/>
                <c:pt idx="0">
                  <c:v>133.44</c:v>
                </c:pt>
                <c:pt idx="1">
                  <c:v>1423.3600000000001</c:v>
                </c:pt>
                <c:pt idx="2">
                  <c:v>2744.4160000000002</c:v>
                </c:pt>
                <c:pt idx="3">
                  <c:v>4069.9200000000005</c:v>
                </c:pt>
                <c:pt idx="4">
                  <c:v>5471.0400000000009</c:v>
                </c:pt>
                <c:pt idx="5">
                  <c:v>6760.9600000000009</c:v>
                </c:pt>
                <c:pt idx="6">
                  <c:v>8273.2800000000007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31D-40F4-9907-95A037848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588319"/>
        <c:axId val="160158873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Senza molla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layout>
                      <c:manualLayout>
                        <c:x val="6.8615796284517361E-2"/>
                        <c:y val="0.11457180638523859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'435'!$E$5:$E$15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1.27</c:v>
                      </c:pt>
                      <c:pt idx="1">
                        <c:v>1.284</c:v>
                      </c:pt>
                      <c:pt idx="2">
                        <c:v>1.3089999999999999</c:v>
                      </c:pt>
                      <c:pt idx="3">
                        <c:v>1.381</c:v>
                      </c:pt>
                      <c:pt idx="4">
                        <c:v>1.4219999999999999</c:v>
                      </c:pt>
                      <c:pt idx="5">
                        <c:v>1.5049999999999999</c:v>
                      </c:pt>
                      <c:pt idx="6">
                        <c:v>1.593</c:v>
                      </c:pt>
                      <c:pt idx="7">
                        <c:v>1.6759999999999999</c:v>
                      </c:pt>
                      <c:pt idx="8">
                        <c:v>1.7889999999999999</c:v>
                      </c:pt>
                      <c:pt idx="9">
                        <c:v>1.877</c:v>
                      </c:pt>
                      <c:pt idx="10">
                        <c:v>2.093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'435'!$D$5:$D$15</c15:sqref>
                        </c15:formulaRef>
                      </c:ext>
                    </c:extLst>
                    <c:numCache>
                      <c:formatCode>0</c:formatCode>
                      <c:ptCount val="11"/>
                      <c:pt idx="0">
                        <c:v>0</c:v>
                      </c:pt>
                      <c:pt idx="1">
                        <c:v>93.408000000000015</c:v>
                      </c:pt>
                      <c:pt idx="2">
                        <c:v>266.88</c:v>
                      </c:pt>
                      <c:pt idx="3">
                        <c:v>1245.44</c:v>
                      </c:pt>
                      <c:pt idx="4">
                        <c:v>1734.7200000000003</c:v>
                      </c:pt>
                      <c:pt idx="5">
                        <c:v>2668.8</c:v>
                      </c:pt>
                      <c:pt idx="6">
                        <c:v>3558.4000000000005</c:v>
                      </c:pt>
                      <c:pt idx="7">
                        <c:v>4448</c:v>
                      </c:pt>
                      <c:pt idx="8">
                        <c:v>5675.6480000000001</c:v>
                      </c:pt>
                      <c:pt idx="9">
                        <c:v>6627.52</c:v>
                      </c:pt>
                      <c:pt idx="10">
                        <c:v>8896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531D-40F4-9907-95A0378488B8}"/>
                  </c:ext>
                </c:extLst>
              </c15:ser>
            </c15:filteredScatterSeries>
            <c15:filteredScatterSeries>
              <c15:ser>
                <c:idx val="2"/>
                <c:order val="1"/>
                <c:tx>
                  <c:v>Con molla 1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poly"/>
                  <c:order val="2"/>
                  <c:dispRSqr val="0"/>
                  <c:dispEq val="1"/>
                  <c:trendlineLbl>
                    <c:layout>
                      <c:manualLayout>
                        <c:x val="4.5264258402239431E-3"/>
                        <c:y val="-8.3915410451181911E-3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it-IT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'435'!$E$19:$E$25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1.2669999999999999</c:v>
                      </c:pt>
                      <c:pt idx="1">
                        <c:v>1.37</c:v>
                      </c:pt>
                      <c:pt idx="2">
                        <c:v>1.47</c:v>
                      </c:pt>
                      <c:pt idx="3">
                        <c:v>1.571</c:v>
                      </c:pt>
                      <c:pt idx="4">
                        <c:v>1.679</c:v>
                      </c:pt>
                      <c:pt idx="5">
                        <c:v>1.8240000000000001</c:v>
                      </c:pt>
                      <c:pt idx="6">
                        <c:v>1.966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'435'!$D$19:$D$25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4.4480000000000004</c:v>
                      </c:pt>
                      <c:pt idx="1">
                        <c:v>1369.9840000000002</c:v>
                      </c:pt>
                      <c:pt idx="2">
                        <c:v>2695.4880000000003</c:v>
                      </c:pt>
                      <c:pt idx="3">
                        <c:v>4052.1280000000002</c:v>
                      </c:pt>
                      <c:pt idx="4">
                        <c:v>5350.9440000000004</c:v>
                      </c:pt>
                      <c:pt idx="5">
                        <c:v>6672.0000000000009</c:v>
                      </c:pt>
                      <c:pt idx="6">
                        <c:v>8099.8080000000009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1D-40F4-9907-95A0378488B8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Con molla 2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'435'!$E$29:$E$33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1.24</c:v>
                      </c:pt>
                      <c:pt idx="1">
                        <c:v>1.357</c:v>
                      </c:pt>
                      <c:pt idx="2">
                        <c:v>1.4870000000000001</c:v>
                      </c:pt>
                      <c:pt idx="3">
                        <c:v>1.623</c:v>
                      </c:pt>
                      <c:pt idx="4">
                        <c:v>1.7589999999999999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'435'!$D$29:$D$33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4.4480000000000004</c:v>
                      </c:pt>
                      <c:pt idx="1">
                        <c:v>1338.8480000000002</c:v>
                      </c:pt>
                      <c:pt idx="2">
                        <c:v>2664.3520000000003</c:v>
                      </c:pt>
                      <c:pt idx="3">
                        <c:v>4007.6480000000001</c:v>
                      </c:pt>
                      <c:pt idx="4">
                        <c:v>5337.6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1D-40F4-9907-95A0378488B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Con molla 3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'435'!$E$37:$E$43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1.2390000000000001</c:v>
                      </c:pt>
                      <c:pt idx="1">
                        <c:v>1.3680000000000001</c:v>
                      </c:pt>
                      <c:pt idx="2">
                        <c:v>1.4770000000000001</c:v>
                      </c:pt>
                      <c:pt idx="3">
                        <c:v>1.5920000000000001</c:v>
                      </c:pt>
                      <c:pt idx="4">
                        <c:v>1.7310000000000001</c:v>
                      </c:pt>
                      <c:pt idx="5">
                        <c:v>1.885</c:v>
                      </c:pt>
                      <c:pt idx="6">
                        <c:v>2.0630000000000002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'435'!$D$37:$D$43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71.168000000000006</c:v>
                      </c:pt>
                      <c:pt idx="1">
                        <c:v>1476.7360000000001</c:v>
                      </c:pt>
                      <c:pt idx="2">
                        <c:v>2686.5920000000001</c:v>
                      </c:pt>
                      <c:pt idx="3">
                        <c:v>4003.2000000000003</c:v>
                      </c:pt>
                      <c:pt idx="4">
                        <c:v>5342.0480000000007</c:v>
                      </c:pt>
                      <c:pt idx="5">
                        <c:v>6712.0320000000002</c:v>
                      </c:pt>
                      <c:pt idx="6">
                        <c:v>8157.6320000000005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31D-40F4-9907-95A0378488B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Con molla 4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'435'!$E$47:$E$53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1.2410000000000001</c:v>
                      </c:pt>
                      <c:pt idx="1">
                        <c:v>1.373</c:v>
                      </c:pt>
                      <c:pt idx="2">
                        <c:v>1.4810000000000001</c:v>
                      </c:pt>
                      <c:pt idx="3">
                        <c:v>1.605</c:v>
                      </c:pt>
                      <c:pt idx="4">
                        <c:v>1.744</c:v>
                      </c:pt>
                      <c:pt idx="5">
                        <c:v>1.901</c:v>
                      </c:pt>
                      <c:pt idx="6">
                        <c:v>2.0550000000000002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'435'!$D$47:$D$53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71.168000000000006</c:v>
                      </c:pt>
                      <c:pt idx="1">
                        <c:v>1463.3920000000001</c:v>
                      </c:pt>
                      <c:pt idx="2">
                        <c:v>2686.5920000000001</c:v>
                      </c:pt>
                      <c:pt idx="3">
                        <c:v>4029.8880000000004</c:v>
                      </c:pt>
                      <c:pt idx="4">
                        <c:v>5364.2880000000005</c:v>
                      </c:pt>
                      <c:pt idx="5">
                        <c:v>6760.9600000000009</c:v>
                      </c:pt>
                      <c:pt idx="6">
                        <c:v>8059.7760000000007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31D-40F4-9907-95A0378488B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Con molla 5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'435'!$E$57:$E$63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1.2230000000000001</c:v>
                      </c:pt>
                      <c:pt idx="1">
                        <c:v>1.365</c:v>
                      </c:pt>
                      <c:pt idx="2">
                        <c:v>1.474</c:v>
                      </c:pt>
                      <c:pt idx="3">
                        <c:v>1.6319999999999999</c:v>
                      </c:pt>
                      <c:pt idx="4">
                        <c:v>1.7929999999999999</c:v>
                      </c:pt>
                      <c:pt idx="5">
                        <c:v>1.9710000000000001</c:v>
                      </c:pt>
                      <c:pt idx="6">
                        <c:v>2.1070000000000002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'435'!$D$57:$D$63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31.136000000000003</c:v>
                      </c:pt>
                      <c:pt idx="1">
                        <c:v>1543.4560000000001</c:v>
                      </c:pt>
                      <c:pt idx="2">
                        <c:v>2673.248</c:v>
                      </c:pt>
                      <c:pt idx="3">
                        <c:v>4074.3680000000004</c:v>
                      </c:pt>
                      <c:pt idx="4">
                        <c:v>5337.6</c:v>
                      </c:pt>
                      <c:pt idx="5">
                        <c:v>6760.9600000000009</c:v>
                      </c:pt>
                      <c:pt idx="6">
                        <c:v>8010.8480000000009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31D-40F4-9907-95A0378488B8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Spacer rigido 1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'435'!$E$68:$E$74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1.224</c:v>
                      </c:pt>
                      <c:pt idx="1">
                        <c:v>1.35</c:v>
                      </c:pt>
                      <c:pt idx="2">
                        <c:v>1.4850000000000001</c:v>
                      </c:pt>
                      <c:pt idx="3">
                        <c:v>1.6220000000000001</c:v>
                      </c:pt>
                      <c:pt idx="4">
                        <c:v>1.766</c:v>
                      </c:pt>
                      <c:pt idx="5">
                        <c:v>1.9350000000000001</c:v>
                      </c:pt>
                      <c:pt idx="6">
                        <c:v>2.09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'435'!$D$68:$D$74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53.376000000000005</c:v>
                      </c:pt>
                      <c:pt idx="1">
                        <c:v>1525.6640000000002</c:v>
                      </c:pt>
                      <c:pt idx="2">
                        <c:v>2802.2400000000002</c:v>
                      </c:pt>
                      <c:pt idx="3">
                        <c:v>4074.3680000000004</c:v>
                      </c:pt>
                      <c:pt idx="4">
                        <c:v>5399.8720000000003</c:v>
                      </c:pt>
                      <c:pt idx="5">
                        <c:v>6938.880000000001</c:v>
                      </c:pt>
                      <c:pt idx="6">
                        <c:v>8362.2400000000016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31D-40F4-9907-95A0378488B8}"/>
                  </c:ext>
                </c:extLst>
              </c15:ser>
            </c15:filteredScatterSeries>
          </c:ext>
        </c:extLst>
      </c:scatterChart>
      <c:valAx>
        <c:axId val="1601588319"/>
        <c:scaling>
          <c:orientation val="minMax"/>
          <c:min val="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1588735"/>
        <c:crosses val="autoZero"/>
        <c:crossBetween val="midCat"/>
      </c:valAx>
      <c:valAx>
        <c:axId val="16015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158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Forza</a:t>
            </a:r>
            <a:r>
              <a:rPr lang="en-GB" b="1" baseline="0"/>
              <a:t> l</a:t>
            </a:r>
            <a:r>
              <a:rPr lang="en-GB" b="1"/>
              <a:t>oadcell [N] / macchina [lbs]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v>Spacer rigido 1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'1'!$D$4:$D$10</c:f>
              <c:numCache>
                <c:formatCode>General</c:formatCode>
                <c:ptCount val="7"/>
                <c:pt idx="0" formatCode="0.000">
                  <c:v>1.1990000000000001</c:v>
                </c:pt>
                <c:pt idx="1">
                  <c:v>1.256</c:v>
                </c:pt>
                <c:pt idx="2">
                  <c:v>1.3959999999999999</c:v>
                </c:pt>
                <c:pt idx="3">
                  <c:v>1.5469999999999999</c:v>
                </c:pt>
                <c:pt idx="4">
                  <c:v>1.6850000000000001</c:v>
                </c:pt>
                <c:pt idx="5">
                  <c:v>1.8360000000000001</c:v>
                </c:pt>
                <c:pt idx="6">
                  <c:v>2.0049999999999999</c:v>
                </c:pt>
              </c:numCache>
            </c:numRef>
          </c:xVal>
          <c:yVal>
            <c:numRef>
              <c:f>'1'!$E$4:$E$10</c:f>
              <c:numCache>
                <c:formatCode>0</c:formatCode>
                <c:ptCount val="7"/>
                <c:pt idx="0">
                  <c:v>4.4480000000000004</c:v>
                </c:pt>
                <c:pt idx="1">
                  <c:v>1378.88</c:v>
                </c:pt>
                <c:pt idx="2">
                  <c:v>2686.5920000000001</c:v>
                </c:pt>
                <c:pt idx="3">
                  <c:v>4092.1600000000003</c:v>
                </c:pt>
                <c:pt idx="4">
                  <c:v>5337.6</c:v>
                </c:pt>
                <c:pt idx="5">
                  <c:v>6716.4800000000005</c:v>
                </c:pt>
                <c:pt idx="6">
                  <c:v>8228.8000000000011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A-40F0-9995-DBDE66FAEFC3}"/>
            </c:ext>
          </c:extLst>
        </c:ser>
        <c:ser>
          <c:idx val="7"/>
          <c:order val="1"/>
          <c:tx>
            <c:v>Spacer rigido 2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'1'!$D$14:$D$20</c:f>
              <c:numCache>
                <c:formatCode>General</c:formatCode>
                <c:ptCount val="7"/>
                <c:pt idx="0">
                  <c:v>1.1879999999999999</c:v>
                </c:pt>
                <c:pt idx="1">
                  <c:v>1.27</c:v>
                </c:pt>
                <c:pt idx="2">
                  <c:v>1.399</c:v>
                </c:pt>
                <c:pt idx="3">
                  <c:v>1.5680000000000001</c:v>
                </c:pt>
                <c:pt idx="4">
                  <c:v>1.6970000000000001</c:v>
                </c:pt>
                <c:pt idx="5">
                  <c:v>1.831</c:v>
                </c:pt>
                <c:pt idx="6">
                  <c:v>1.982</c:v>
                </c:pt>
              </c:numCache>
            </c:numRef>
          </c:xVal>
          <c:yVal>
            <c:numRef>
              <c:f>'1'!$E$14:$E$20</c:f>
              <c:numCache>
                <c:formatCode>0</c:formatCode>
                <c:ptCount val="7"/>
                <c:pt idx="0">
                  <c:v>4.4480000000000004</c:v>
                </c:pt>
                <c:pt idx="1">
                  <c:v>1556.8000000000002</c:v>
                </c:pt>
                <c:pt idx="2">
                  <c:v>2757.76</c:v>
                </c:pt>
                <c:pt idx="3">
                  <c:v>4314.5600000000004</c:v>
                </c:pt>
                <c:pt idx="4">
                  <c:v>5471.0400000000009</c:v>
                </c:pt>
                <c:pt idx="5">
                  <c:v>6672.0000000000009</c:v>
                </c:pt>
                <c:pt idx="6">
                  <c:v>8050.880000000001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0A-40F0-9995-DBDE66FAEFC3}"/>
            </c:ext>
          </c:extLst>
        </c:ser>
        <c:ser>
          <c:idx val="8"/>
          <c:order val="2"/>
          <c:tx>
            <c:v>Spacer rigido 3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'1'!$D$24:$D$30</c:f>
              <c:numCache>
                <c:formatCode>General</c:formatCode>
                <c:ptCount val="7"/>
                <c:pt idx="0">
                  <c:v>1.1830000000000001</c:v>
                </c:pt>
                <c:pt idx="1">
                  <c:v>1.266</c:v>
                </c:pt>
                <c:pt idx="2">
                  <c:v>1.4019999999999999</c:v>
                </c:pt>
                <c:pt idx="3">
                  <c:v>1.552</c:v>
                </c:pt>
                <c:pt idx="4">
                  <c:v>1.694</c:v>
                </c:pt>
                <c:pt idx="5">
                  <c:v>1.8660000000000001</c:v>
                </c:pt>
                <c:pt idx="6">
                  <c:v>1.9870000000000001</c:v>
                </c:pt>
              </c:numCache>
            </c:numRef>
          </c:xVal>
          <c:yVal>
            <c:numRef>
              <c:f>'1'!$E$24:$E$30</c:f>
              <c:numCache>
                <c:formatCode>0</c:formatCode>
                <c:ptCount val="7"/>
                <c:pt idx="0">
                  <c:v>26.688000000000002</c:v>
                </c:pt>
                <c:pt idx="1">
                  <c:v>1512.3200000000002</c:v>
                </c:pt>
                <c:pt idx="2">
                  <c:v>2802.2400000000002</c:v>
                </c:pt>
                <c:pt idx="3">
                  <c:v>4181.1200000000008</c:v>
                </c:pt>
                <c:pt idx="4">
                  <c:v>5471.0400000000009</c:v>
                </c:pt>
                <c:pt idx="5">
                  <c:v>7027.8400000000011</c:v>
                </c:pt>
                <c:pt idx="6">
                  <c:v>8117.6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0A-40F0-9995-DBDE66FAE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588319"/>
        <c:axId val="1601588735"/>
        <c:extLst/>
      </c:scatterChart>
      <c:valAx>
        <c:axId val="1601588319"/>
        <c:scaling>
          <c:orientation val="minMax"/>
          <c:min val="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1588735"/>
        <c:crosses val="autoZero"/>
        <c:crossBetween val="midCat"/>
      </c:valAx>
      <c:valAx>
        <c:axId val="16015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158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Forza</a:t>
            </a:r>
            <a:r>
              <a:rPr lang="en-GB" b="1" baseline="0"/>
              <a:t> l</a:t>
            </a:r>
            <a:r>
              <a:rPr lang="en-GB" b="1"/>
              <a:t>oadcell [N] / macchina [lbs]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v>Spacer rigido 1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'874'!$D$4:$D$10</c:f>
              <c:numCache>
                <c:formatCode>General</c:formatCode>
                <c:ptCount val="7"/>
                <c:pt idx="0" formatCode="0.000">
                  <c:v>1.161</c:v>
                </c:pt>
                <c:pt idx="1">
                  <c:v>1.2110000000000001</c:v>
                </c:pt>
                <c:pt idx="2">
                  <c:v>1.341</c:v>
                </c:pt>
                <c:pt idx="3">
                  <c:v>1.466</c:v>
                </c:pt>
                <c:pt idx="4">
                  <c:v>1.617</c:v>
                </c:pt>
                <c:pt idx="5">
                  <c:v>1.7889999999999999</c:v>
                </c:pt>
                <c:pt idx="6">
                  <c:v>1.903</c:v>
                </c:pt>
              </c:numCache>
            </c:numRef>
          </c:xVal>
          <c:yVal>
            <c:numRef>
              <c:f>'874'!$E$4:$E$10</c:f>
              <c:numCache>
                <c:formatCode>0</c:formatCode>
                <c:ptCount val="7"/>
                <c:pt idx="0">
                  <c:v>13.344000000000001</c:v>
                </c:pt>
                <c:pt idx="1">
                  <c:v>1556.8000000000002</c:v>
                </c:pt>
                <c:pt idx="2">
                  <c:v>2891.2000000000003</c:v>
                </c:pt>
                <c:pt idx="3">
                  <c:v>4092.1600000000003</c:v>
                </c:pt>
                <c:pt idx="4">
                  <c:v>5471.0400000000009</c:v>
                </c:pt>
                <c:pt idx="5">
                  <c:v>7027.8400000000011</c:v>
                </c:pt>
                <c:pt idx="6">
                  <c:v>8050.880000000001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CB-4213-8E40-5C20A603651B}"/>
            </c:ext>
          </c:extLst>
        </c:ser>
        <c:ser>
          <c:idx val="7"/>
          <c:order val="1"/>
          <c:tx>
            <c:v>Spacer rigido 2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'874'!$D$14:$D$20</c:f>
              <c:numCache>
                <c:formatCode>General</c:formatCode>
                <c:ptCount val="7"/>
                <c:pt idx="0">
                  <c:v>1.1439999999999999</c:v>
                </c:pt>
                <c:pt idx="1">
                  <c:v>1.1930000000000001</c:v>
                </c:pt>
                <c:pt idx="2">
                  <c:v>1.343</c:v>
                </c:pt>
                <c:pt idx="3">
                  <c:v>1.4770000000000001</c:v>
                </c:pt>
                <c:pt idx="4">
                  <c:v>1.6120000000000001</c:v>
                </c:pt>
                <c:pt idx="5">
                  <c:v>1.7789999999999999</c:v>
                </c:pt>
                <c:pt idx="6">
                  <c:v>1.91</c:v>
                </c:pt>
              </c:numCache>
            </c:numRef>
          </c:xVal>
          <c:yVal>
            <c:numRef>
              <c:f>'874'!$E$14:$E$20</c:f>
              <c:numCache>
                <c:formatCode>0</c:formatCode>
                <c:ptCount val="7"/>
                <c:pt idx="0">
                  <c:v>26.688000000000002</c:v>
                </c:pt>
                <c:pt idx="1">
                  <c:v>1467.8400000000001</c:v>
                </c:pt>
                <c:pt idx="2">
                  <c:v>2935.6800000000003</c:v>
                </c:pt>
                <c:pt idx="3">
                  <c:v>4181.1200000000008</c:v>
                </c:pt>
                <c:pt idx="4">
                  <c:v>5426.56</c:v>
                </c:pt>
                <c:pt idx="5">
                  <c:v>6938.880000000001</c:v>
                </c:pt>
                <c:pt idx="6">
                  <c:v>8095.3600000000006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CB-4213-8E40-5C20A603651B}"/>
            </c:ext>
          </c:extLst>
        </c:ser>
        <c:ser>
          <c:idx val="8"/>
          <c:order val="2"/>
          <c:tx>
            <c:v>Spacer rigido 3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'874'!$D$24:$D$30</c:f>
              <c:numCache>
                <c:formatCode>General</c:formatCode>
                <c:ptCount val="7"/>
                <c:pt idx="0">
                  <c:v>1.143</c:v>
                </c:pt>
                <c:pt idx="1">
                  <c:v>1.2130000000000001</c:v>
                </c:pt>
                <c:pt idx="2">
                  <c:v>1.337</c:v>
                </c:pt>
                <c:pt idx="3">
                  <c:v>1.49</c:v>
                </c:pt>
                <c:pt idx="4">
                  <c:v>1.641</c:v>
                </c:pt>
                <c:pt idx="5">
                  <c:v>1.7749999999999999</c:v>
                </c:pt>
                <c:pt idx="6">
                  <c:v>1.929</c:v>
                </c:pt>
              </c:numCache>
            </c:numRef>
          </c:xVal>
          <c:yVal>
            <c:numRef>
              <c:f>'874'!$E$24:$E$30</c:f>
              <c:numCache>
                <c:formatCode>0</c:formatCode>
                <c:ptCount val="7"/>
                <c:pt idx="0">
                  <c:v>31.136000000000003</c:v>
                </c:pt>
                <c:pt idx="1">
                  <c:v>1690.2400000000002</c:v>
                </c:pt>
                <c:pt idx="2">
                  <c:v>2891.2000000000003</c:v>
                </c:pt>
                <c:pt idx="3">
                  <c:v>4314.5600000000004</c:v>
                </c:pt>
                <c:pt idx="4">
                  <c:v>5693.4400000000005</c:v>
                </c:pt>
                <c:pt idx="5">
                  <c:v>6894.4000000000005</c:v>
                </c:pt>
                <c:pt idx="6">
                  <c:v>8273.2800000000007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CB-4213-8E40-5C20A6036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588319"/>
        <c:axId val="1601588735"/>
        <c:extLst/>
      </c:scatterChart>
      <c:valAx>
        <c:axId val="1601588319"/>
        <c:scaling>
          <c:orientation val="minMax"/>
          <c:min val="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1588735"/>
        <c:crosses val="autoZero"/>
        <c:crossBetween val="midCat"/>
      </c:valAx>
      <c:valAx>
        <c:axId val="16015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158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Forza</a:t>
            </a:r>
            <a:r>
              <a:rPr lang="en-GB" b="1" baseline="0"/>
              <a:t> l</a:t>
            </a:r>
            <a:r>
              <a:rPr lang="en-GB" b="1"/>
              <a:t>oadcell [N] / macchina [lbs]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v>Spacer rigido 1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'2_Riparata'!$D$4:$D$10</c:f>
              <c:numCache>
                <c:formatCode>General</c:formatCode>
                <c:ptCount val="7"/>
                <c:pt idx="0" formatCode="0.000">
                  <c:v>1.276</c:v>
                </c:pt>
                <c:pt idx="1">
                  <c:v>1.377</c:v>
                </c:pt>
                <c:pt idx="2">
                  <c:v>1.532</c:v>
                </c:pt>
                <c:pt idx="3">
                  <c:v>1.6679999999999999</c:v>
                </c:pt>
                <c:pt idx="4">
                  <c:v>1.8140000000000001</c:v>
                </c:pt>
                <c:pt idx="5">
                  <c:v>1.95</c:v>
                </c:pt>
                <c:pt idx="6">
                  <c:v>2.16</c:v>
                </c:pt>
              </c:numCache>
            </c:numRef>
          </c:xVal>
          <c:yVal>
            <c:numRef>
              <c:f>'2_Riparata'!$E$4:$E$10</c:f>
              <c:numCache>
                <c:formatCode>0</c:formatCode>
                <c:ptCount val="7"/>
                <c:pt idx="0">
                  <c:v>26.688000000000002</c:v>
                </c:pt>
                <c:pt idx="1">
                  <c:v>1378.88</c:v>
                </c:pt>
                <c:pt idx="2">
                  <c:v>2846.7200000000003</c:v>
                </c:pt>
                <c:pt idx="3">
                  <c:v>4092.1600000000003</c:v>
                </c:pt>
                <c:pt idx="4">
                  <c:v>5426.56</c:v>
                </c:pt>
                <c:pt idx="5">
                  <c:v>6716.4800000000005</c:v>
                </c:pt>
                <c:pt idx="6">
                  <c:v>8718.08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2-4F16-9964-F1872F4C8649}"/>
            </c:ext>
          </c:extLst>
        </c:ser>
        <c:ser>
          <c:idx val="7"/>
          <c:order val="1"/>
          <c:tx>
            <c:v>Spacer rigido 2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'2_Riparata'!$D$14:$D$20</c:f>
              <c:numCache>
                <c:formatCode>General</c:formatCode>
                <c:ptCount val="7"/>
                <c:pt idx="0">
                  <c:v>1.262</c:v>
                </c:pt>
                <c:pt idx="1">
                  <c:v>1.375</c:v>
                </c:pt>
                <c:pt idx="2">
                  <c:v>1.52</c:v>
                </c:pt>
                <c:pt idx="3">
                  <c:v>1.694</c:v>
                </c:pt>
                <c:pt idx="4">
                  <c:v>1.8169999999999999</c:v>
                </c:pt>
                <c:pt idx="5">
                  <c:v>1.9590000000000001</c:v>
                </c:pt>
                <c:pt idx="6">
                  <c:v>2.1059999999999999</c:v>
                </c:pt>
              </c:numCache>
            </c:numRef>
          </c:xVal>
          <c:yVal>
            <c:numRef>
              <c:f>'2_Riparata'!$E$14:$E$20</c:f>
              <c:numCache>
                <c:formatCode>0</c:formatCode>
                <c:ptCount val="7"/>
                <c:pt idx="0">
                  <c:v>31.136000000000003</c:v>
                </c:pt>
                <c:pt idx="1">
                  <c:v>1423.3600000000001</c:v>
                </c:pt>
                <c:pt idx="2">
                  <c:v>2757.76</c:v>
                </c:pt>
                <c:pt idx="3">
                  <c:v>4359.04</c:v>
                </c:pt>
                <c:pt idx="4">
                  <c:v>5515.52</c:v>
                </c:pt>
                <c:pt idx="5">
                  <c:v>6849.920000000001</c:v>
                </c:pt>
                <c:pt idx="6">
                  <c:v>8228.8000000000011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A2-4F16-9964-F1872F4C8649}"/>
            </c:ext>
          </c:extLst>
        </c:ser>
        <c:ser>
          <c:idx val="8"/>
          <c:order val="2"/>
          <c:tx>
            <c:v>Spacer rigido 3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'2_Riparata'!$D$24:$D$30</c:f>
              <c:numCache>
                <c:formatCode>General</c:formatCode>
                <c:ptCount val="7"/>
                <c:pt idx="0">
                  <c:v>1.2569999999999999</c:v>
                </c:pt>
                <c:pt idx="1">
                  <c:v>1.3779999999999999</c:v>
                </c:pt>
                <c:pt idx="2">
                  <c:v>1.518</c:v>
                </c:pt>
                <c:pt idx="3">
                  <c:v>1.673</c:v>
                </c:pt>
                <c:pt idx="4">
                  <c:v>1.794</c:v>
                </c:pt>
                <c:pt idx="5">
                  <c:v>1.9370000000000001</c:v>
                </c:pt>
                <c:pt idx="6">
                  <c:v>2.077</c:v>
                </c:pt>
              </c:numCache>
            </c:numRef>
          </c:xVal>
          <c:yVal>
            <c:numRef>
              <c:f>'2_Riparata'!$E$24:$E$30</c:f>
              <c:numCache>
                <c:formatCode>0</c:formatCode>
                <c:ptCount val="7"/>
                <c:pt idx="0">
                  <c:v>35.584000000000003</c:v>
                </c:pt>
                <c:pt idx="1">
                  <c:v>1467.8400000000001</c:v>
                </c:pt>
                <c:pt idx="2">
                  <c:v>2757.76</c:v>
                </c:pt>
                <c:pt idx="3">
                  <c:v>4181.1200000000008</c:v>
                </c:pt>
                <c:pt idx="4">
                  <c:v>5337.6</c:v>
                </c:pt>
                <c:pt idx="5">
                  <c:v>6672.0000000000009</c:v>
                </c:pt>
                <c:pt idx="6">
                  <c:v>8006.4000000000005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A2-4F16-9964-F1872F4C8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588319"/>
        <c:axId val="1601588735"/>
        <c:extLst/>
      </c:scatterChart>
      <c:valAx>
        <c:axId val="1601588319"/>
        <c:scaling>
          <c:orientation val="minMax"/>
          <c:min val="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1588735"/>
        <c:crosses val="autoZero"/>
        <c:crossBetween val="midCat"/>
      </c:valAx>
      <c:valAx>
        <c:axId val="16015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158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Forza</a:t>
            </a:r>
            <a:r>
              <a:rPr lang="en-GB" b="1" baseline="0"/>
              <a:t> l</a:t>
            </a:r>
            <a:r>
              <a:rPr lang="en-GB" b="1"/>
              <a:t>oadcell [N] / macchina [lbs]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v>Spacer rigido 1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'2_RiparataV2'!$D$4:$D$10</c:f>
              <c:numCache>
                <c:formatCode>General</c:formatCode>
                <c:ptCount val="7"/>
                <c:pt idx="0" formatCode="0.000">
                  <c:v>1.2515000000000001</c:v>
                </c:pt>
                <c:pt idx="1">
                  <c:v>1.4075</c:v>
                </c:pt>
                <c:pt idx="2">
                  <c:v>1.5735000000000001</c:v>
                </c:pt>
                <c:pt idx="3">
                  <c:v>1.7654999999999998</c:v>
                </c:pt>
                <c:pt idx="4">
                  <c:v>1.92</c:v>
                </c:pt>
                <c:pt idx="5">
                  <c:v>2.0830000000000002</c:v>
                </c:pt>
                <c:pt idx="6">
                  <c:v>2.242</c:v>
                </c:pt>
              </c:numCache>
            </c:numRef>
          </c:xVal>
          <c:yVal>
            <c:numRef>
              <c:f>'2_RiparataV2'!$E$4:$E$10</c:f>
              <c:numCache>
                <c:formatCode>0</c:formatCode>
                <c:ptCount val="7"/>
                <c:pt idx="0">
                  <c:v>24.464000000000002</c:v>
                </c:pt>
                <c:pt idx="1">
                  <c:v>1378.88</c:v>
                </c:pt>
                <c:pt idx="2">
                  <c:v>2735.5200000000004</c:v>
                </c:pt>
                <c:pt idx="3">
                  <c:v>4336.8</c:v>
                </c:pt>
                <c:pt idx="4">
                  <c:v>5626.72</c:v>
                </c:pt>
                <c:pt idx="5">
                  <c:v>6983.3600000000006</c:v>
                </c:pt>
                <c:pt idx="6">
                  <c:v>8317.76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9C-4E52-9AE4-70B7692536CC}"/>
            </c:ext>
          </c:extLst>
        </c:ser>
        <c:ser>
          <c:idx val="7"/>
          <c:order val="1"/>
          <c:tx>
            <c:v>Spacer rigido 2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'2_RiparataV2'!$D$14:$D$20</c:f>
              <c:numCache>
                <c:formatCode>General</c:formatCode>
                <c:ptCount val="7"/>
                <c:pt idx="0">
                  <c:v>1.2529999999999999</c:v>
                </c:pt>
                <c:pt idx="1">
                  <c:v>1.415</c:v>
                </c:pt>
                <c:pt idx="2">
                  <c:v>1.5840000000000001</c:v>
                </c:pt>
                <c:pt idx="3">
                  <c:v>1.7649999999999999</c:v>
                </c:pt>
                <c:pt idx="4">
                  <c:v>1.909</c:v>
                </c:pt>
                <c:pt idx="5">
                  <c:v>2.0859999999999999</c:v>
                </c:pt>
                <c:pt idx="6">
                  <c:v>2.2240000000000002</c:v>
                </c:pt>
              </c:numCache>
            </c:numRef>
          </c:xVal>
          <c:yVal>
            <c:numRef>
              <c:f>'2_RiparataV2'!$E$14:$E$20</c:f>
              <c:numCache>
                <c:formatCode>0</c:formatCode>
                <c:ptCount val="7"/>
                <c:pt idx="0">
                  <c:v>22.240000000000002</c:v>
                </c:pt>
                <c:pt idx="1">
                  <c:v>1423.3600000000001</c:v>
                </c:pt>
                <c:pt idx="2">
                  <c:v>2802.2400000000002</c:v>
                </c:pt>
                <c:pt idx="3">
                  <c:v>4314.5600000000004</c:v>
                </c:pt>
                <c:pt idx="4">
                  <c:v>5515.52</c:v>
                </c:pt>
                <c:pt idx="5">
                  <c:v>6983.3600000000006</c:v>
                </c:pt>
                <c:pt idx="6">
                  <c:v>8139.8400000000011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9C-4E52-9AE4-70B7692536CC}"/>
            </c:ext>
          </c:extLst>
        </c:ser>
        <c:ser>
          <c:idx val="8"/>
          <c:order val="2"/>
          <c:tx>
            <c:v>Spacer rigido 3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'2_RiparataV2'!$D$24:$D$30</c:f>
              <c:numCache>
                <c:formatCode>General</c:formatCode>
                <c:ptCount val="7"/>
                <c:pt idx="0">
                  <c:v>1.25</c:v>
                </c:pt>
                <c:pt idx="1">
                  <c:v>1.4</c:v>
                </c:pt>
                <c:pt idx="2">
                  <c:v>1.5629999999999999</c:v>
                </c:pt>
                <c:pt idx="3">
                  <c:v>1.766</c:v>
                </c:pt>
                <c:pt idx="4">
                  <c:v>1.931</c:v>
                </c:pt>
                <c:pt idx="5">
                  <c:v>2.08</c:v>
                </c:pt>
                <c:pt idx="6">
                  <c:v>2.2599999999999998</c:v>
                </c:pt>
              </c:numCache>
            </c:numRef>
          </c:xVal>
          <c:yVal>
            <c:numRef>
              <c:f>'2_RiparataV2'!$E$24:$E$30</c:f>
              <c:numCache>
                <c:formatCode>0</c:formatCode>
                <c:ptCount val="7"/>
                <c:pt idx="0">
                  <c:v>26.688000000000002</c:v>
                </c:pt>
                <c:pt idx="1">
                  <c:v>1334.4</c:v>
                </c:pt>
                <c:pt idx="2">
                  <c:v>2668.8</c:v>
                </c:pt>
                <c:pt idx="3">
                  <c:v>4359.04</c:v>
                </c:pt>
                <c:pt idx="4">
                  <c:v>5737.92</c:v>
                </c:pt>
                <c:pt idx="5">
                  <c:v>6983.3600000000006</c:v>
                </c:pt>
                <c:pt idx="6">
                  <c:v>8495.68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9C-4E52-9AE4-70B769253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588319"/>
        <c:axId val="1601588735"/>
        <c:extLst/>
      </c:scatterChart>
      <c:valAx>
        <c:axId val="1601588319"/>
        <c:scaling>
          <c:orientation val="minMax"/>
          <c:min val="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1588735"/>
        <c:crosses val="autoZero"/>
        <c:crossBetween val="midCat"/>
      </c:valAx>
      <c:valAx>
        <c:axId val="16015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158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87085</xdr:colOff>
      <xdr:row>2</xdr:row>
      <xdr:rowOff>70077</xdr:rowOff>
    </xdr:from>
    <xdr:to>
      <xdr:col>20</xdr:col>
      <xdr:colOff>537483</xdr:colOff>
      <xdr:row>28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7BF83A-2371-4D3C-8582-11B39009B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87085</xdr:colOff>
      <xdr:row>2</xdr:row>
      <xdr:rowOff>70077</xdr:rowOff>
    </xdr:from>
    <xdr:to>
      <xdr:col>20</xdr:col>
      <xdr:colOff>537483</xdr:colOff>
      <xdr:row>28</xdr:row>
      <xdr:rowOff>176893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66499-DEC3-457A-8301-A22A10C24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87085</xdr:colOff>
      <xdr:row>2</xdr:row>
      <xdr:rowOff>70077</xdr:rowOff>
    </xdr:from>
    <xdr:to>
      <xdr:col>20</xdr:col>
      <xdr:colOff>537483</xdr:colOff>
      <xdr:row>28</xdr:row>
      <xdr:rowOff>176893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40D927-F948-4863-8FA7-AB4E918C3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87085</xdr:colOff>
      <xdr:row>2</xdr:row>
      <xdr:rowOff>70077</xdr:rowOff>
    </xdr:from>
    <xdr:to>
      <xdr:col>20</xdr:col>
      <xdr:colOff>537483</xdr:colOff>
      <xdr:row>28</xdr:row>
      <xdr:rowOff>176893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5E5664-EDC5-4D03-B719-76A1772F8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87085</xdr:colOff>
      <xdr:row>2</xdr:row>
      <xdr:rowOff>70077</xdr:rowOff>
    </xdr:from>
    <xdr:to>
      <xdr:col>20</xdr:col>
      <xdr:colOff>537483</xdr:colOff>
      <xdr:row>28</xdr:row>
      <xdr:rowOff>176893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779E03-3E9B-49B3-B8B9-E5286C87B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F22FE3-9588-4AA6-9BF4-54F3AD7313DE}" name="Table1" displayName="Table1" ref="B2:F7" totalsRowShown="0" headerRowDxfId="6" dataDxfId="5">
  <tableColumns count="5">
    <tableColumn id="1" xr3:uid="{E4ECC705-E51D-4EF4-A456-9C14A2880EE4}" name="Serial number" dataDxfId="4"/>
    <tableColumn id="2" xr3:uid="{A91E6B23-0523-4482-A022-4EA6CC089651}" name="Gain" dataDxfId="3">
      <calculatedColumnFormula>'435'!H96</calculatedColumnFormula>
    </tableColumn>
    <tableColumn id="3" xr3:uid="{EDB952E2-867D-44F1-B4EC-E36295AB4EE5}" name="Gain Variance" dataDxfId="2"/>
    <tableColumn id="4" xr3:uid="{19B07FCD-E5EB-4F17-A0AE-4F37604D8560}" name="Offset" dataDxfId="1">
      <calculatedColumnFormula array="1">'435'!I96ù</calculatedColumnFormula>
    </tableColumn>
    <tableColumn id="5" xr3:uid="{EC0EDA62-AFBE-41B6-89F9-43BA020157F7}" name="Offset Varianc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26BF-02BA-41A3-BC51-36850DCAFD74}">
  <dimension ref="B2:N7"/>
  <sheetViews>
    <sheetView showGridLines="0" tabSelected="1" zoomScaleNormal="100" workbookViewId="0">
      <selection activeCell="N4" sqref="N4:N6"/>
    </sheetView>
  </sheetViews>
  <sheetFormatPr defaultRowHeight="15" x14ac:dyDescent="0.25"/>
  <cols>
    <col min="1" max="1" width="3.7109375" style="24" customWidth="1"/>
    <col min="2" max="2" width="17.28515625" style="24" customWidth="1"/>
    <col min="3" max="3" width="9.140625" style="24"/>
    <col min="4" max="4" width="19.140625" style="24" customWidth="1"/>
    <col min="5" max="5" width="9.140625" style="24"/>
    <col min="6" max="6" width="21.42578125" style="24" customWidth="1"/>
    <col min="7" max="16384" width="9.140625" style="24"/>
  </cols>
  <sheetData>
    <row r="2" spans="2:14" x14ac:dyDescent="0.25">
      <c r="B2" s="25" t="s">
        <v>24</v>
      </c>
      <c r="C2" s="25" t="s">
        <v>25</v>
      </c>
      <c r="D2" s="25" t="s">
        <v>27</v>
      </c>
      <c r="E2" s="25" t="s">
        <v>26</v>
      </c>
      <c r="F2" s="25" t="s">
        <v>31</v>
      </c>
      <c r="J2" s="24">
        <v>874</v>
      </c>
      <c r="K2" s="24">
        <v>1</v>
      </c>
      <c r="L2" s="24">
        <v>435</v>
      </c>
      <c r="M2" s="24" t="s">
        <v>34</v>
      </c>
    </row>
    <row r="3" spans="2:14" x14ac:dyDescent="0.25">
      <c r="B3" s="25">
        <v>435</v>
      </c>
      <c r="C3" s="26">
        <v>9398</v>
      </c>
      <c r="D3" s="27">
        <v>7.0000000000000001E-3</v>
      </c>
      <c r="E3" s="28">
        <v>-11328</v>
      </c>
      <c r="F3" s="29">
        <v>-1.6E-2</v>
      </c>
      <c r="I3" s="24" t="s">
        <v>32</v>
      </c>
      <c r="J3" s="24" t="s">
        <v>33</v>
      </c>
      <c r="K3" s="24" t="s">
        <v>33</v>
      </c>
      <c r="L3" s="24" t="s">
        <v>33</v>
      </c>
      <c r="M3" s="24" t="s">
        <v>33</v>
      </c>
    </row>
    <row r="4" spans="2:14" x14ac:dyDescent="0.25">
      <c r="B4" s="25">
        <v>1</v>
      </c>
      <c r="C4" s="26">
        <v>9037.1135328663986</v>
      </c>
      <c r="D4" s="27">
        <v>1.3738692917434248E-3</v>
      </c>
      <c r="E4" s="28">
        <v>-9863.1497282188811</v>
      </c>
      <c r="F4" s="29">
        <v>-2.4122666466786318E-3</v>
      </c>
      <c r="I4" s="24">
        <v>0</v>
      </c>
      <c r="J4" s="47">
        <f>(I4/1000)*$C$5+$E$5</f>
        <v>-9150.8264308777962</v>
      </c>
      <c r="K4" s="47">
        <f>(I4/1000)*$C$4+$E$4</f>
        <v>-9863.1497282188811</v>
      </c>
      <c r="L4" s="47">
        <f>(I4/1000)*$C$3+$E$3</f>
        <v>-11328</v>
      </c>
      <c r="M4" s="47">
        <f>(I4/1000)*$C$6+$E$6</f>
        <v>-11605.242265496849</v>
      </c>
      <c r="N4" s="47">
        <f>(I4/1000)*$C$7+$E$7</f>
        <v>-10407.604088201109</v>
      </c>
    </row>
    <row r="5" spans="2:14" x14ac:dyDescent="0.25">
      <c r="B5" s="25">
        <v>874</v>
      </c>
      <c r="C5" s="26">
        <v>9038.2065798207841</v>
      </c>
      <c r="D5" s="27">
        <v>2.1419084691316577E-3</v>
      </c>
      <c r="E5" s="28">
        <v>-9150.8264308777962</v>
      </c>
      <c r="F5" s="29">
        <v>-3.5661054841950521E-3</v>
      </c>
      <c r="I5" s="24">
        <v>1200</v>
      </c>
      <c r="J5" s="47">
        <f t="shared" ref="J5:J6" si="0">(I5/1000)*$C$5+$E$5</f>
        <v>1695.021464907144</v>
      </c>
      <c r="K5" s="47">
        <f t="shared" ref="K5:K6" si="1">(I5/1000)*$C$4+$E$4</f>
        <v>981.38651122079682</v>
      </c>
      <c r="L5" s="47">
        <f t="shared" ref="L5:L6" si="2">(I5/1000)*$C$3+$E$3</f>
        <v>-50.399999999999636</v>
      </c>
      <c r="M5" s="47">
        <f t="shared" ref="M5:N6" si="3">(I5/1000)*$C$6+$E$6</f>
        <v>-300.385808165036</v>
      </c>
      <c r="N5" s="47">
        <f t="shared" ref="N5:N6" si="4">(I5/1000)*$C$7+$E$7</f>
        <v>-386.55678093530696</v>
      </c>
    </row>
    <row r="6" spans="2:14" x14ac:dyDescent="0.25">
      <c r="B6" s="25" t="s">
        <v>28</v>
      </c>
      <c r="C6" s="26">
        <v>9420.7137144431781</v>
      </c>
      <c r="D6" s="27">
        <v>2.6344248206071805E-3</v>
      </c>
      <c r="E6" s="28">
        <v>-11605.242265496849</v>
      </c>
      <c r="F6" s="29">
        <v>-3.2541464344916205E-3</v>
      </c>
      <c r="I6" s="24">
        <v>5000</v>
      </c>
      <c r="J6" s="47">
        <f t="shared" si="0"/>
        <v>36040.206468226126</v>
      </c>
      <c r="K6" s="47">
        <f t="shared" si="1"/>
        <v>35322.41793611311</v>
      </c>
      <c r="L6" s="47">
        <f t="shared" si="2"/>
        <v>35662</v>
      </c>
      <c r="M6" s="47">
        <f t="shared" si="3"/>
        <v>35498.326306719042</v>
      </c>
      <c r="N6" s="47">
        <f t="shared" si="4"/>
        <v>31346.759692073072</v>
      </c>
    </row>
    <row r="7" spans="2:14" x14ac:dyDescent="0.25">
      <c r="B7" s="25" t="s">
        <v>35</v>
      </c>
      <c r="C7" s="26">
        <v>8350.8727560548359</v>
      </c>
      <c r="D7" s="27">
        <v>2.159530247094036E-3</v>
      </c>
      <c r="E7" s="28">
        <v>-10407.604088201109</v>
      </c>
      <c r="F7" s="51">
        <v>-1.7039365077019021E-3</v>
      </c>
    </row>
  </sheetData>
  <pageMargins left="0.7" right="0.7" top="0.75" bottom="0.75" header="0.3" footer="0.3"/>
  <ignoredErrors>
    <ignoredError sqref="E3 C3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891C-EF9D-4271-8FB5-777F45BEC2FD}">
  <dimension ref="B1:V97"/>
  <sheetViews>
    <sheetView showGridLines="0" zoomScale="90" zoomScaleNormal="90" workbookViewId="0"/>
  </sheetViews>
  <sheetFormatPr defaultRowHeight="15" x14ac:dyDescent="0.25"/>
  <cols>
    <col min="1" max="1" width="3.7109375" customWidth="1"/>
    <col min="2" max="2" width="15.28515625" customWidth="1"/>
    <col min="3" max="3" width="24.5703125" customWidth="1"/>
    <col min="4" max="4" width="18.42578125" bestFit="1" customWidth="1"/>
    <col min="5" max="5" width="21.7109375" customWidth="1"/>
    <col min="6" max="6" width="19.85546875" bestFit="1" customWidth="1"/>
    <col min="7" max="7" width="24" customWidth="1"/>
    <col min="9" max="9" width="11.85546875" bestFit="1" customWidth="1"/>
  </cols>
  <sheetData>
    <row r="1" spans="2:22" x14ac:dyDescent="0.25">
      <c r="V1" t="s">
        <v>12</v>
      </c>
    </row>
    <row r="2" spans="2:22" x14ac:dyDescent="0.25">
      <c r="B2" t="s">
        <v>5</v>
      </c>
    </row>
    <row r="4" spans="2:22" x14ac:dyDescent="0.25">
      <c r="B4" s="5" t="s">
        <v>1</v>
      </c>
      <c r="C4" s="6" t="s">
        <v>2</v>
      </c>
      <c r="D4" s="6" t="s">
        <v>3</v>
      </c>
      <c r="E4" s="6" t="s">
        <v>0</v>
      </c>
      <c r="F4" s="32" t="s">
        <v>4</v>
      </c>
    </row>
    <row r="5" spans="2:22" x14ac:dyDescent="0.25">
      <c r="B5" s="15"/>
      <c r="C5" s="11">
        <v>0</v>
      </c>
      <c r="D5" s="14">
        <f>C5*4.448</f>
        <v>0</v>
      </c>
      <c r="E5" s="11">
        <v>1.27</v>
      </c>
      <c r="F5" s="17">
        <f>(E5-1.2)/0.00133*10</f>
        <v>526.31578947368462</v>
      </c>
    </row>
    <row r="6" spans="2:22" x14ac:dyDescent="0.25">
      <c r="B6" s="15"/>
      <c r="C6" s="11">
        <v>21</v>
      </c>
      <c r="D6" s="14">
        <f t="shared" ref="D6:D15" si="0">C6*4.448</f>
        <v>93.408000000000015</v>
      </c>
      <c r="E6" s="11">
        <v>1.284</v>
      </c>
      <c r="F6" s="17">
        <f t="shared" ref="F6:F15" si="1">(E6-1.2)/0.00133*10</f>
        <v>631.57894736842161</v>
      </c>
    </row>
    <row r="7" spans="2:22" x14ac:dyDescent="0.25">
      <c r="B7" s="15"/>
      <c r="C7" s="11">
        <v>60</v>
      </c>
      <c r="D7" s="14">
        <f t="shared" si="0"/>
        <v>266.88</v>
      </c>
      <c r="E7" s="11">
        <v>1.3089999999999999</v>
      </c>
      <c r="F7" s="17">
        <f t="shared" si="1"/>
        <v>819.54887218045099</v>
      </c>
    </row>
    <row r="8" spans="2:22" x14ac:dyDescent="0.25">
      <c r="B8" s="15"/>
      <c r="C8" s="11">
        <v>280</v>
      </c>
      <c r="D8" s="14">
        <f t="shared" si="0"/>
        <v>1245.44</v>
      </c>
      <c r="E8" s="11">
        <v>1.381</v>
      </c>
      <c r="F8" s="17">
        <f t="shared" si="1"/>
        <v>1360.902255639098</v>
      </c>
    </row>
    <row r="9" spans="2:22" x14ac:dyDescent="0.25">
      <c r="B9" s="15"/>
      <c r="C9" s="11">
        <v>390</v>
      </c>
      <c r="D9" s="14">
        <f t="shared" si="0"/>
        <v>1734.7200000000003</v>
      </c>
      <c r="E9" s="11">
        <v>1.4219999999999999</v>
      </c>
      <c r="F9" s="17">
        <f t="shared" si="1"/>
        <v>1669.1729323308268</v>
      </c>
    </row>
    <row r="10" spans="2:22" x14ac:dyDescent="0.25">
      <c r="B10" s="15"/>
      <c r="C10" s="11">
        <v>600</v>
      </c>
      <c r="D10" s="14">
        <f t="shared" si="0"/>
        <v>2668.8</v>
      </c>
      <c r="E10" s="11">
        <v>1.5049999999999999</v>
      </c>
      <c r="F10" s="17">
        <f t="shared" si="1"/>
        <v>2293.2330827067663</v>
      </c>
    </row>
    <row r="11" spans="2:22" x14ac:dyDescent="0.25">
      <c r="B11" s="15"/>
      <c r="C11" s="11">
        <v>800</v>
      </c>
      <c r="D11" s="14">
        <f t="shared" si="0"/>
        <v>3558.4000000000005</v>
      </c>
      <c r="E11" s="11">
        <v>1.593</v>
      </c>
      <c r="F11" s="17">
        <f t="shared" si="1"/>
        <v>2954.8872180451126</v>
      </c>
    </row>
    <row r="12" spans="2:22" x14ac:dyDescent="0.25">
      <c r="B12" s="15"/>
      <c r="C12" s="11">
        <v>1000</v>
      </c>
      <c r="D12" s="14">
        <f t="shared" si="0"/>
        <v>4448</v>
      </c>
      <c r="E12" s="11">
        <v>1.6759999999999999</v>
      </c>
      <c r="F12" s="17">
        <f t="shared" si="1"/>
        <v>3578.9473684210525</v>
      </c>
    </row>
    <row r="13" spans="2:22" x14ac:dyDescent="0.25">
      <c r="B13" s="15"/>
      <c r="C13" s="11">
        <v>1276</v>
      </c>
      <c r="D13" s="14">
        <f t="shared" si="0"/>
        <v>5675.6480000000001</v>
      </c>
      <c r="E13" s="11">
        <v>1.7889999999999999</v>
      </c>
      <c r="F13" s="17">
        <f t="shared" si="1"/>
        <v>4428.5714285714284</v>
      </c>
    </row>
    <row r="14" spans="2:22" x14ac:dyDescent="0.25">
      <c r="B14" s="15"/>
      <c r="C14" s="11">
        <v>1490</v>
      </c>
      <c r="D14" s="14">
        <f t="shared" si="0"/>
        <v>6627.52</v>
      </c>
      <c r="E14" s="11">
        <v>1.877</v>
      </c>
      <c r="F14" s="17">
        <f t="shared" si="1"/>
        <v>5090.2255639097748</v>
      </c>
    </row>
    <row r="15" spans="2:22" x14ac:dyDescent="0.25">
      <c r="B15" s="20"/>
      <c r="C15" s="21">
        <v>2000</v>
      </c>
      <c r="D15" s="30">
        <f t="shared" si="0"/>
        <v>8896</v>
      </c>
      <c r="E15" s="21">
        <v>2.093</v>
      </c>
      <c r="F15" s="31">
        <f t="shared" si="1"/>
        <v>6714.2857142857147</v>
      </c>
    </row>
    <row r="17" spans="2:7" x14ac:dyDescent="0.25">
      <c r="B17" s="5" t="s">
        <v>9</v>
      </c>
      <c r="C17" s="6"/>
      <c r="D17" s="6" t="s">
        <v>6</v>
      </c>
      <c r="E17" s="7"/>
      <c r="F17" s="7"/>
      <c r="G17" s="8"/>
    </row>
    <row r="18" spans="2:7" x14ac:dyDescent="0.25">
      <c r="B18" s="9" t="s">
        <v>1</v>
      </c>
      <c r="C18" s="10" t="s">
        <v>2</v>
      </c>
      <c r="D18" s="10" t="s">
        <v>3</v>
      </c>
      <c r="E18" s="10" t="s">
        <v>0</v>
      </c>
      <c r="F18" s="10" t="s">
        <v>4</v>
      </c>
      <c r="G18" s="16" t="s">
        <v>7</v>
      </c>
    </row>
    <row r="19" spans="2:7" x14ac:dyDescent="0.25">
      <c r="B19" s="13"/>
      <c r="C19" s="11">
        <v>1</v>
      </c>
      <c r="D19" s="14">
        <f>C19*4.448</f>
        <v>4.4480000000000004</v>
      </c>
      <c r="E19" s="11">
        <v>1.2669999999999999</v>
      </c>
      <c r="F19" s="14">
        <f>(E19-1.2)/0.00133*10</f>
        <v>503.75939849624018</v>
      </c>
      <c r="G19" s="12"/>
    </row>
    <row r="20" spans="2:7" x14ac:dyDescent="0.25">
      <c r="B20" s="15">
        <v>6.88</v>
      </c>
      <c r="C20" s="11">
        <v>308</v>
      </c>
      <c r="D20" s="14">
        <f t="shared" ref="D20:D25" si="2">C20*4.448</f>
        <v>1369.9840000000002</v>
      </c>
      <c r="E20" s="11">
        <v>1.37</v>
      </c>
      <c r="F20" s="14">
        <f t="shared" ref="F20:F25" si="3">(E20-1.2)/0.00133*10</f>
        <v>1278.1954887218055</v>
      </c>
      <c r="G20" s="17"/>
    </row>
    <row r="21" spans="2:7" x14ac:dyDescent="0.25">
      <c r="B21" s="15">
        <v>14.96</v>
      </c>
      <c r="C21" s="11">
        <v>606</v>
      </c>
      <c r="D21" s="14">
        <f t="shared" si="2"/>
        <v>2695.4880000000003</v>
      </c>
      <c r="E21" s="11">
        <v>1.47</v>
      </c>
      <c r="F21" s="14">
        <f t="shared" si="3"/>
        <v>2030.0751879699249</v>
      </c>
      <c r="G21" s="17">
        <f>(D21-$D$20)/(B21-$B$20)</f>
        <v>164.04752475247523</v>
      </c>
    </row>
    <row r="22" spans="2:7" x14ac:dyDescent="0.25">
      <c r="B22" s="15">
        <v>23.04</v>
      </c>
      <c r="C22" s="11">
        <v>911</v>
      </c>
      <c r="D22" s="14">
        <f t="shared" si="2"/>
        <v>4052.1280000000002</v>
      </c>
      <c r="E22" s="11">
        <v>1.571</v>
      </c>
      <c r="F22" s="14">
        <f t="shared" si="3"/>
        <v>2789.4736842105258</v>
      </c>
      <c r="G22" s="17">
        <f t="shared" ref="G22:G25" si="4">(D22-$D$20)/(B22-$B$20)</f>
        <v>165.97425742574259</v>
      </c>
    </row>
    <row r="23" spans="2:7" x14ac:dyDescent="0.25">
      <c r="B23" s="15">
        <v>30.64</v>
      </c>
      <c r="C23" s="11">
        <v>1203</v>
      </c>
      <c r="D23" s="14">
        <f t="shared" si="2"/>
        <v>5350.9440000000004</v>
      </c>
      <c r="E23" s="11">
        <v>1.679</v>
      </c>
      <c r="F23" s="14">
        <f t="shared" si="3"/>
        <v>3601.5037593984971</v>
      </c>
      <c r="G23" s="17">
        <f t="shared" si="4"/>
        <v>167.54882154882154</v>
      </c>
    </row>
    <row r="24" spans="2:7" x14ac:dyDescent="0.25">
      <c r="B24" s="15">
        <v>37.71</v>
      </c>
      <c r="C24" s="11">
        <v>1500</v>
      </c>
      <c r="D24" s="14">
        <f t="shared" si="2"/>
        <v>6672.0000000000009</v>
      </c>
      <c r="E24" s="11">
        <v>1.8240000000000001</v>
      </c>
      <c r="F24" s="14">
        <f t="shared" si="3"/>
        <v>4691.7293233082719</v>
      </c>
      <c r="G24" s="17">
        <f t="shared" si="4"/>
        <v>171.9758676613688</v>
      </c>
    </row>
    <row r="25" spans="2:7" x14ac:dyDescent="0.25">
      <c r="B25" s="20">
        <v>45.18</v>
      </c>
      <c r="C25" s="21">
        <v>1821</v>
      </c>
      <c r="D25" s="30">
        <f t="shared" si="2"/>
        <v>8099.8080000000009</v>
      </c>
      <c r="E25" s="21">
        <v>1.966</v>
      </c>
      <c r="F25" s="30">
        <f t="shared" si="3"/>
        <v>5759.3984962406012</v>
      </c>
      <c r="G25" s="31">
        <f t="shared" si="4"/>
        <v>175.71342036553528</v>
      </c>
    </row>
    <row r="26" spans="2:7" x14ac:dyDescent="0.25">
      <c r="D26" s="2"/>
      <c r="F26" s="2"/>
      <c r="G26" t="s">
        <v>8</v>
      </c>
    </row>
    <row r="27" spans="2:7" x14ac:dyDescent="0.25">
      <c r="B27" s="5" t="s">
        <v>10</v>
      </c>
      <c r="C27" s="6"/>
      <c r="D27" s="6" t="s">
        <v>6</v>
      </c>
      <c r="E27" s="7"/>
      <c r="F27" s="7"/>
      <c r="G27" s="8"/>
    </row>
    <row r="28" spans="2:7" x14ac:dyDescent="0.25">
      <c r="B28" s="9" t="s">
        <v>1</v>
      </c>
      <c r="C28" s="10" t="s">
        <v>2</v>
      </c>
      <c r="D28" s="10" t="s">
        <v>3</v>
      </c>
      <c r="E28" s="10" t="s">
        <v>0</v>
      </c>
      <c r="F28" s="10" t="s">
        <v>4</v>
      </c>
      <c r="G28" s="16" t="s">
        <v>7</v>
      </c>
    </row>
    <row r="29" spans="2:7" x14ac:dyDescent="0.25">
      <c r="B29" s="13">
        <v>0</v>
      </c>
      <c r="C29" s="11">
        <v>1</v>
      </c>
      <c r="D29" s="14">
        <f>C29*4.448</f>
        <v>4.4480000000000004</v>
      </c>
      <c r="E29" s="11">
        <v>1.24</v>
      </c>
      <c r="F29" s="14"/>
      <c r="G29" s="12"/>
    </row>
    <row r="30" spans="2:7" x14ac:dyDescent="0.25">
      <c r="B30" s="15">
        <v>10.130000000000001</v>
      </c>
      <c r="C30" s="11">
        <v>301</v>
      </c>
      <c r="D30" s="14">
        <f t="shared" ref="D30:D33" si="5">C30*4.448</f>
        <v>1338.8480000000002</v>
      </c>
      <c r="E30" s="11">
        <v>1.357</v>
      </c>
      <c r="F30" s="14"/>
      <c r="G30" s="17"/>
    </row>
    <row r="31" spans="2:7" x14ac:dyDescent="0.25">
      <c r="B31" s="15">
        <v>18.29</v>
      </c>
      <c r="C31" s="11">
        <v>599</v>
      </c>
      <c r="D31" s="14">
        <f t="shared" si="5"/>
        <v>2664.3520000000003</v>
      </c>
      <c r="E31" s="11">
        <v>1.4870000000000001</v>
      </c>
      <c r="F31" s="14"/>
      <c r="G31" s="17"/>
    </row>
    <row r="32" spans="2:7" x14ac:dyDescent="0.25">
      <c r="B32" s="15">
        <v>26.43</v>
      </c>
      <c r="C32" s="11">
        <v>901</v>
      </c>
      <c r="D32" s="14">
        <f t="shared" si="5"/>
        <v>4007.6480000000001</v>
      </c>
      <c r="E32" s="11">
        <v>1.623</v>
      </c>
      <c r="F32" s="14"/>
      <c r="G32" s="17"/>
    </row>
    <row r="33" spans="2:7" x14ac:dyDescent="0.25">
      <c r="B33" s="20">
        <v>34.15</v>
      </c>
      <c r="C33" s="21">
        <v>1200</v>
      </c>
      <c r="D33" s="30">
        <f t="shared" si="5"/>
        <v>5337.6</v>
      </c>
      <c r="E33" s="21">
        <v>1.7589999999999999</v>
      </c>
      <c r="F33" s="30"/>
      <c r="G33" s="31"/>
    </row>
    <row r="34" spans="2:7" x14ac:dyDescent="0.25">
      <c r="D34" s="2"/>
      <c r="F34" s="2"/>
      <c r="G34" s="2"/>
    </row>
    <row r="35" spans="2:7" x14ac:dyDescent="0.25">
      <c r="B35" s="5" t="s">
        <v>11</v>
      </c>
      <c r="C35" s="6"/>
      <c r="D35" s="6" t="s">
        <v>6</v>
      </c>
      <c r="E35" s="7"/>
      <c r="F35" s="7"/>
      <c r="G35" s="8"/>
    </row>
    <row r="36" spans="2:7" x14ac:dyDescent="0.25">
      <c r="B36" s="9" t="s">
        <v>1</v>
      </c>
      <c r="C36" s="10" t="s">
        <v>2</v>
      </c>
      <c r="D36" s="10" t="s">
        <v>3</v>
      </c>
      <c r="E36" s="10" t="s">
        <v>0</v>
      </c>
      <c r="F36" s="10" t="s">
        <v>4</v>
      </c>
      <c r="G36" s="16" t="s">
        <v>7</v>
      </c>
    </row>
    <row r="37" spans="2:7" x14ac:dyDescent="0.25">
      <c r="B37" s="13">
        <v>0</v>
      </c>
      <c r="C37" s="11">
        <v>16</v>
      </c>
      <c r="D37" s="14">
        <f>C37*4.448</f>
        <v>71.168000000000006</v>
      </c>
      <c r="E37" s="11">
        <v>1.2390000000000001</v>
      </c>
      <c r="F37" s="14"/>
      <c r="G37" s="12"/>
    </row>
    <row r="38" spans="2:7" x14ac:dyDescent="0.25">
      <c r="B38" s="15">
        <v>9.4700000000000006</v>
      </c>
      <c r="C38" s="11">
        <v>332</v>
      </c>
      <c r="D38" s="14">
        <f t="shared" ref="D38:D43" si="6">C38*4.448</f>
        <v>1476.7360000000001</v>
      </c>
      <c r="E38" s="11">
        <v>1.3680000000000001</v>
      </c>
      <c r="F38" s="14"/>
      <c r="G38" s="17"/>
    </row>
    <row r="39" spans="2:7" x14ac:dyDescent="0.25">
      <c r="B39" s="15">
        <v>16.850000000000001</v>
      </c>
      <c r="C39" s="11">
        <v>604</v>
      </c>
      <c r="D39" s="14">
        <f t="shared" si="6"/>
        <v>2686.5920000000001</v>
      </c>
      <c r="E39" s="11">
        <v>1.4770000000000001</v>
      </c>
      <c r="F39" s="14"/>
      <c r="G39" s="17"/>
    </row>
    <row r="40" spans="2:7" x14ac:dyDescent="0.25">
      <c r="B40" s="15">
        <v>24.76</v>
      </c>
      <c r="C40" s="11">
        <v>900</v>
      </c>
      <c r="D40" s="14">
        <f t="shared" si="6"/>
        <v>4003.2000000000003</v>
      </c>
      <c r="E40" s="11">
        <v>1.5920000000000001</v>
      </c>
      <c r="F40" s="14"/>
      <c r="G40" s="17"/>
    </row>
    <row r="41" spans="2:7" x14ac:dyDescent="0.25">
      <c r="B41" s="15">
        <v>32.53</v>
      </c>
      <c r="C41" s="11">
        <v>1201</v>
      </c>
      <c r="D41" s="14">
        <f t="shared" si="6"/>
        <v>5342.0480000000007</v>
      </c>
      <c r="E41" s="11">
        <v>1.7310000000000001</v>
      </c>
      <c r="F41" s="14"/>
      <c r="G41" s="17"/>
    </row>
    <row r="42" spans="2:7" x14ac:dyDescent="0.25">
      <c r="B42" s="15">
        <v>39.94</v>
      </c>
      <c r="C42" s="11">
        <v>1509</v>
      </c>
      <c r="D42" s="14">
        <f t="shared" si="6"/>
        <v>6712.0320000000002</v>
      </c>
      <c r="E42" s="11">
        <v>1.885</v>
      </c>
      <c r="F42" s="14"/>
      <c r="G42" s="12"/>
    </row>
    <row r="43" spans="2:7" x14ac:dyDescent="0.25">
      <c r="B43" s="20">
        <v>47.57</v>
      </c>
      <c r="C43" s="21">
        <v>1834</v>
      </c>
      <c r="D43" s="30">
        <f t="shared" si="6"/>
        <v>8157.6320000000005</v>
      </c>
      <c r="E43" s="21">
        <v>2.0630000000000002</v>
      </c>
      <c r="F43" s="30"/>
      <c r="G43" s="33"/>
    </row>
    <row r="45" spans="2:7" x14ac:dyDescent="0.25">
      <c r="B45" s="5" t="s">
        <v>13</v>
      </c>
      <c r="C45" s="6"/>
      <c r="D45" s="6" t="s">
        <v>6</v>
      </c>
      <c r="E45" s="7"/>
      <c r="F45" s="7"/>
      <c r="G45" s="8"/>
    </row>
    <row r="46" spans="2:7" x14ac:dyDescent="0.25">
      <c r="B46" s="9" t="s">
        <v>1</v>
      </c>
      <c r="C46" s="10" t="s">
        <v>2</v>
      </c>
      <c r="D46" s="10" t="s">
        <v>3</v>
      </c>
      <c r="E46" s="10" t="s">
        <v>0</v>
      </c>
      <c r="F46" s="10" t="s">
        <v>4</v>
      </c>
      <c r="G46" s="16" t="s">
        <v>7</v>
      </c>
    </row>
    <row r="47" spans="2:7" x14ac:dyDescent="0.25">
      <c r="B47" s="13">
        <v>0</v>
      </c>
      <c r="C47" s="11">
        <v>16</v>
      </c>
      <c r="D47" s="14">
        <f>C47*4.448</f>
        <v>71.168000000000006</v>
      </c>
      <c r="E47" s="11">
        <v>1.2410000000000001</v>
      </c>
      <c r="F47" s="14"/>
      <c r="G47" s="12"/>
    </row>
    <row r="48" spans="2:7" x14ac:dyDescent="0.25">
      <c r="B48" s="15">
        <v>9.42</v>
      </c>
      <c r="C48" s="11">
        <v>329</v>
      </c>
      <c r="D48" s="14">
        <f t="shared" ref="D48:D53" si="7">C48*4.448</f>
        <v>1463.3920000000001</v>
      </c>
      <c r="E48" s="11">
        <v>1.373</v>
      </c>
      <c r="F48" s="14"/>
      <c r="G48" s="17"/>
    </row>
    <row r="49" spans="2:7" x14ac:dyDescent="0.25">
      <c r="B49" s="15">
        <v>16.78</v>
      </c>
      <c r="C49" s="11">
        <v>604</v>
      </c>
      <c r="D49" s="14">
        <f t="shared" si="7"/>
        <v>2686.5920000000001</v>
      </c>
      <c r="E49" s="11">
        <v>1.4810000000000001</v>
      </c>
      <c r="F49" s="14"/>
      <c r="G49" s="17"/>
    </row>
    <row r="50" spans="2:7" x14ac:dyDescent="0.25">
      <c r="B50" s="15">
        <v>24.92</v>
      </c>
      <c r="C50" s="11">
        <v>906</v>
      </c>
      <c r="D50" s="14">
        <f t="shared" si="7"/>
        <v>4029.8880000000004</v>
      </c>
      <c r="E50" s="11">
        <v>1.605</v>
      </c>
      <c r="F50" s="14"/>
      <c r="G50" s="17"/>
    </row>
    <row r="51" spans="2:7" x14ac:dyDescent="0.25">
      <c r="B51" s="15">
        <v>32.67</v>
      </c>
      <c r="C51" s="11">
        <v>1206</v>
      </c>
      <c r="D51" s="14">
        <f t="shared" si="7"/>
        <v>5364.2880000000005</v>
      </c>
      <c r="E51" s="11">
        <v>1.744</v>
      </c>
      <c r="F51" s="14"/>
      <c r="G51" s="17"/>
    </row>
    <row r="52" spans="2:7" x14ac:dyDescent="0.25">
      <c r="B52" s="15">
        <v>40.19</v>
      </c>
      <c r="C52" s="11">
        <v>1520</v>
      </c>
      <c r="D52" s="14">
        <f t="shared" si="7"/>
        <v>6760.9600000000009</v>
      </c>
      <c r="E52" s="11">
        <v>1.901</v>
      </c>
      <c r="F52" s="14"/>
      <c r="G52" s="12"/>
    </row>
    <row r="53" spans="2:7" x14ac:dyDescent="0.25">
      <c r="B53" s="20">
        <v>47.05</v>
      </c>
      <c r="C53" s="21">
        <v>1812</v>
      </c>
      <c r="D53" s="30">
        <f t="shared" si="7"/>
        <v>8059.7760000000007</v>
      </c>
      <c r="E53" s="21">
        <v>2.0550000000000002</v>
      </c>
      <c r="F53" s="30"/>
      <c r="G53" s="33"/>
    </row>
    <row r="55" spans="2:7" x14ac:dyDescent="0.25">
      <c r="B55" s="5" t="s">
        <v>14</v>
      </c>
      <c r="C55" s="6"/>
      <c r="D55" s="6" t="s">
        <v>6</v>
      </c>
      <c r="E55" s="7"/>
      <c r="F55" s="7"/>
      <c r="G55" s="8"/>
    </row>
    <row r="56" spans="2:7" x14ac:dyDescent="0.25">
      <c r="B56" s="9" t="s">
        <v>1</v>
      </c>
      <c r="C56" s="10" t="s">
        <v>2</v>
      </c>
      <c r="D56" s="10" t="s">
        <v>3</v>
      </c>
      <c r="E56" s="10" t="s">
        <v>0</v>
      </c>
      <c r="F56" s="10" t="s">
        <v>4</v>
      </c>
      <c r="G56" s="16" t="s">
        <v>7</v>
      </c>
    </row>
    <row r="57" spans="2:7" x14ac:dyDescent="0.25">
      <c r="B57" s="13">
        <v>0</v>
      </c>
      <c r="C57" s="11">
        <v>7</v>
      </c>
      <c r="D57" s="14">
        <f>C57*4.448</f>
        <v>31.136000000000003</v>
      </c>
      <c r="E57" s="11">
        <v>1.2230000000000001</v>
      </c>
      <c r="F57" s="14"/>
      <c r="G57" s="12"/>
    </row>
    <row r="58" spans="2:7" x14ac:dyDescent="0.25">
      <c r="B58" s="15">
        <v>10.98</v>
      </c>
      <c r="C58" s="11">
        <v>347</v>
      </c>
      <c r="D58" s="14">
        <f t="shared" ref="D58:D63" si="8">C58*4.448</f>
        <v>1543.4560000000001</v>
      </c>
      <c r="E58" s="11">
        <v>1.365</v>
      </c>
      <c r="F58" s="14"/>
      <c r="G58" s="17"/>
    </row>
    <row r="59" spans="2:7" x14ac:dyDescent="0.25">
      <c r="B59" s="15">
        <v>17.850000000000001</v>
      </c>
      <c r="C59" s="11">
        <v>601</v>
      </c>
      <c r="D59" s="14">
        <f t="shared" si="8"/>
        <v>2673.248</v>
      </c>
      <c r="E59" s="11">
        <v>1.474</v>
      </c>
      <c r="F59" s="14"/>
      <c r="G59" s="17"/>
    </row>
    <row r="60" spans="2:7" x14ac:dyDescent="0.25">
      <c r="B60" s="15">
        <v>26.34</v>
      </c>
      <c r="C60" s="11">
        <v>916</v>
      </c>
      <c r="D60" s="14">
        <f t="shared" si="8"/>
        <v>4074.3680000000004</v>
      </c>
      <c r="E60" s="11">
        <v>1.6319999999999999</v>
      </c>
      <c r="F60" s="14"/>
      <c r="G60" s="17"/>
    </row>
    <row r="61" spans="2:7" x14ac:dyDescent="0.25">
      <c r="B61" s="15">
        <v>33.81</v>
      </c>
      <c r="C61" s="11">
        <v>1200</v>
      </c>
      <c r="D61" s="14">
        <f t="shared" si="8"/>
        <v>5337.6</v>
      </c>
      <c r="E61" s="11">
        <v>1.7929999999999999</v>
      </c>
      <c r="F61" s="14"/>
      <c r="G61" s="17"/>
    </row>
    <row r="62" spans="2:7" x14ac:dyDescent="0.25">
      <c r="B62" s="15">
        <v>41.74</v>
      </c>
      <c r="C62" s="11">
        <v>1520</v>
      </c>
      <c r="D62" s="14">
        <f t="shared" si="8"/>
        <v>6760.9600000000009</v>
      </c>
      <c r="E62" s="11">
        <v>1.9710000000000001</v>
      </c>
      <c r="F62" s="14"/>
      <c r="G62" s="12"/>
    </row>
    <row r="63" spans="2:7" x14ac:dyDescent="0.25">
      <c r="B63" s="20">
        <v>48.18</v>
      </c>
      <c r="C63" s="21">
        <v>1801</v>
      </c>
      <c r="D63" s="30">
        <f t="shared" si="8"/>
        <v>8010.8480000000009</v>
      </c>
      <c r="E63" s="21">
        <v>2.1070000000000002</v>
      </c>
      <c r="F63" s="30"/>
      <c r="G63" s="33"/>
    </row>
    <row r="64" spans="2:7" x14ac:dyDescent="0.25">
      <c r="E64" t="s">
        <v>15</v>
      </c>
    </row>
    <row r="66" spans="2:9" x14ac:dyDescent="0.25">
      <c r="B66" s="5" t="s">
        <v>16</v>
      </c>
      <c r="C66" s="6"/>
      <c r="D66" s="6"/>
      <c r="E66" s="7"/>
      <c r="F66" s="7"/>
      <c r="G66" s="7"/>
      <c r="H66" s="7"/>
      <c r="I66" s="8"/>
    </row>
    <row r="67" spans="2:9" x14ac:dyDescent="0.25">
      <c r="B67" s="9" t="s">
        <v>1</v>
      </c>
      <c r="C67" s="10" t="s">
        <v>2</v>
      </c>
      <c r="D67" s="10" t="s">
        <v>3</v>
      </c>
      <c r="E67" s="10" t="s">
        <v>23</v>
      </c>
      <c r="F67" s="10" t="s">
        <v>4</v>
      </c>
      <c r="G67" s="10" t="s">
        <v>7</v>
      </c>
      <c r="H67" s="11"/>
      <c r="I67" s="12"/>
    </row>
    <row r="68" spans="2:9" x14ac:dyDescent="0.25">
      <c r="B68" s="13">
        <v>0</v>
      </c>
      <c r="C68" s="11">
        <v>12</v>
      </c>
      <c r="D68" s="14">
        <f>C68*4.448</f>
        <v>53.376000000000005</v>
      </c>
      <c r="E68" s="11">
        <v>1.224</v>
      </c>
      <c r="F68" s="14"/>
      <c r="G68" s="11"/>
      <c r="H68" s="11"/>
      <c r="I68" s="12"/>
    </row>
    <row r="69" spans="2:9" x14ac:dyDescent="0.25">
      <c r="B69" s="15"/>
      <c r="C69" s="11">
        <v>343</v>
      </c>
      <c r="D69" s="14">
        <f t="shared" ref="D69:D74" si="9">C69*4.448</f>
        <v>1525.6640000000002</v>
      </c>
      <c r="E69" s="11">
        <v>1.35</v>
      </c>
      <c r="F69" s="14"/>
      <c r="G69" s="14"/>
      <c r="H69" s="11"/>
      <c r="I69" s="12"/>
    </row>
    <row r="70" spans="2:9" x14ac:dyDescent="0.25">
      <c r="B70" s="15"/>
      <c r="C70" s="11">
        <v>630</v>
      </c>
      <c r="D70" s="14">
        <f t="shared" si="9"/>
        <v>2802.2400000000002</v>
      </c>
      <c r="E70" s="11">
        <v>1.4850000000000001</v>
      </c>
      <c r="F70" s="14"/>
      <c r="G70" s="14"/>
      <c r="H70" s="11"/>
      <c r="I70" s="12"/>
    </row>
    <row r="71" spans="2:9" x14ac:dyDescent="0.25">
      <c r="B71" s="15"/>
      <c r="C71" s="11">
        <v>916</v>
      </c>
      <c r="D71" s="14">
        <f t="shared" si="9"/>
        <v>4074.3680000000004</v>
      </c>
      <c r="E71" s="11">
        <v>1.6220000000000001</v>
      </c>
      <c r="F71" s="14"/>
      <c r="G71" s="14"/>
      <c r="H71" s="11"/>
      <c r="I71" s="12"/>
    </row>
    <row r="72" spans="2:9" x14ac:dyDescent="0.25">
      <c r="B72" s="15"/>
      <c r="C72" s="11">
        <v>1214</v>
      </c>
      <c r="D72" s="14">
        <f t="shared" si="9"/>
        <v>5399.8720000000003</v>
      </c>
      <c r="E72" s="11">
        <v>1.766</v>
      </c>
      <c r="F72" s="14"/>
      <c r="G72" s="14"/>
      <c r="H72" s="11"/>
      <c r="I72" s="12"/>
    </row>
    <row r="73" spans="2:9" x14ac:dyDescent="0.25">
      <c r="B73" s="15"/>
      <c r="C73" s="11">
        <v>1560</v>
      </c>
      <c r="D73" s="14">
        <f t="shared" si="9"/>
        <v>6938.880000000001</v>
      </c>
      <c r="E73" s="11">
        <v>1.9350000000000001</v>
      </c>
      <c r="F73" s="14"/>
      <c r="G73" s="11"/>
      <c r="H73" s="10" t="s">
        <v>19</v>
      </c>
      <c r="I73" s="16" t="s">
        <v>20</v>
      </c>
    </row>
    <row r="74" spans="2:9" x14ac:dyDescent="0.25">
      <c r="B74" s="15"/>
      <c r="C74" s="11">
        <v>1880</v>
      </c>
      <c r="D74" s="14">
        <f t="shared" si="9"/>
        <v>8362.2400000000016</v>
      </c>
      <c r="E74" s="11">
        <v>2.09</v>
      </c>
      <c r="F74" s="14"/>
      <c r="G74" s="11"/>
      <c r="H74" s="14" cm="1">
        <f t="array" ref="H74:I74">LINEST(D70:D74,E70:E74,1,0)</f>
        <v>9181.0513229781736</v>
      </c>
      <c r="I74" s="17">
        <v>-10823.078934371955</v>
      </c>
    </row>
    <row r="75" spans="2:9" x14ac:dyDescent="0.25">
      <c r="B75" s="15"/>
      <c r="C75" s="11"/>
      <c r="D75" s="11"/>
      <c r="E75" s="11"/>
      <c r="F75" s="11"/>
      <c r="G75" s="11"/>
      <c r="H75" s="11"/>
      <c r="I75" s="12"/>
    </row>
    <row r="76" spans="2:9" x14ac:dyDescent="0.25">
      <c r="B76" s="9" t="s">
        <v>17</v>
      </c>
      <c r="C76" s="10"/>
      <c r="D76" s="10"/>
      <c r="E76" s="11"/>
      <c r="F76" s="11"/>
      <c r="G76" s="11"/>
      <c r="H76" s="11"/>
      <c r="I76" s="12"/>
    </row>
    <row r="77" spans="2:9" x14ac:dyDescent="0.25">
      <c r="B77" s="9" t="s">
        <v>1</v>
      </c>
      <c r="C77" s="10" t="s">
        <v>2</v>
      </c>
      <c r="D77" s="10" t="s">
        <v>3</v>
      </c>
      <c r="E77" s="10" t="s">
        <v>23</v>
      </c>
      <c r="F77" s="10" t="s">
        <v>4</v>
      </c>
      <c r="G77" s="10" t="s">
        <v>7</v>
      </c>
      <c r="H77" s="11"/>
      <c r="I77" s="12"/>
    </row>
    <row r="78" spans="2:9" x14ac:dyDescent="0.25">
      <c r="B78" s="13">
        <v>0</v>
      </c>
      <c r="C78" s="11">
        <v>5</v>
      </c>
      <c r="D78" s="14">
        <f>C78*4.448</f>
        <v>22.240000000000002</v>
      </c>
      <c r="E78" s="11">
        <v>1.226</v>
      </c>
      <c r="F78" s="14"/>
      <c r="G78" s="11"/>
      <c r="H78" s="11"/>
      <c r="I78" s="12"/>
    </row>
    <row r="79" spans="2:9" x14ac:dyDescent="0.25">
      <c r="B79" s="15"/>
      <c r="C79" s="11">
        <v>340</v>
      </c>
      <c r="D79" s="14">
        <f t="shared" ref="D79:D84" si="10">C79*4.448</f>
        <v>1512.3200000000002</v>
      </c>
      <c r="E79" s="11">
        <v>1.365</v>
      </c>
      <c r="F79" s="14"/>
      <c r="G79" s="14"/>
      <c r="H79" s="11"/>
      <c r="I79" s="12"/>
    </row>
    <row r="80" spans="2:9" x14ac:dyDescent="0.25">
      <c r="B80" s="15"/>
      <c r="C80" s="11">
        <v>660</v>
      </c>
      <c r="D80" s="14">
        <f t="shared" si="10"/>
        <v>2935.6800000000003</v>
      </c>
      <c r="E80" s="11">
        <v>1.516</v>
      </c>
      <c r="F80" s="14"/>
      <c r="G80" s="14"/>
      <c r="H80" s="11"/>
      <c r="I80" s="12"/>
    </row>
    <row r="81" spans="2:9" x14ac:dyDescent="0.25">
      <c r="B81" s="15"/>
      <c r="C81" s="11">
        <v>975</v>
      </c>
      <c r="D81" s="14">
        <f t="shared" si="10"/>
        <v>4336.8</v>
      </c>
      <c r="E81" s="11">
        <v>1.6659999999999999</v>
      </c>
      <c r="F81" s="14"/>
      <c r="G81" s="14"/>
      <c r="H81" s="11"/>
      <c r="I81" s="12"/>
    </row>
    <row r="82" spans="2:9" x14ac:dyDescent="0.25">
      <c r="B82" s="15"/>
      <c r="C82" s="11">
        <v>1234</v>
      </c>
      <c r="D82" s="14">
        <f t="shared" si="10"/>
        <v>5488.8320000000003</v>
      </c>
      <c r="E82" s="11">
        <v>1.7889999999999999</v>
      </c>
      <c r="F82" s="14"/>
      <c r="G82" s="14"/>
      <c r="H82" s="11"/>
      <c r="I82" s="12"/>
    </row>
    <row r="83" spans="2:9" x14ac:dyDescent="0.25">
      <c r="B83" s="15"/>
      <c r="C83" s="11">
        <v>1517</v>
      </c>
      <c r="D83" s="14">
        <f t="shared" si="10"/>
        <v>6747.6160000000009</v>
      </c>
      <c r="E83" s="11">
        <v>1.923</v>
      </c>
      <c r="F83" s="14"/>
      <c r="G83" s="11"/>
      <c r="H83" s="10" t="s">
        <v>19</v>
      </c>
      <c r="I83" s="16" t="s">
        <v>20</v>
      </c>
    </row>
    <row r="84" spans="2:9" x14ac:dyDescent="0.25">
      <c r="B84" s="15"/>
      <c r="C84" s="11">
        <v>1880</v>
      </c>
      <c r="D84" s="14">
        <f t="shared" si="10"/>
        <v>8362.2400000000016</v>
      </c>
      <c r="E84" s="11">
        <v>2.0979999999999999</v>
      </c>
      <c r="F84" s="14"/>
      <c r="G84" s="11"/>
      <c r="H84" s="14" cm="1">
        <f t="array" ref="H84:I84">LINEST(D81:D84,E81:E84,1,0)</f>
        <v>9321.9826350445819</v>
      </c>
      <c r="I84" s="17">
        <v>-11188.913544898323</v>
      </c>
    </row>
    <row r="85" spans="2:9" x14ac:dyDescent="0.25">
      <c r="B85" s="15"/>
      <c r="C85" s="11"/>
      <c r="D85" s="11"/>
      <c r="E85" s="11"/>
      <c r="F85" s="11"/>
      <c r="G85" s="11"/>
      <c r="H85" s="11"/>
      <c r="I85" s="12"/>
    </row>
    <row r="86" spans="2:9" x14ac:dyDescent="0.25">
      <c r="B86" s="9" t="s">
        <v>18</v>
      </c>
      <c r="C86" s="10"/>
      <c r="D86" s="10"/>
      <c r="E86" s="11"/>
      <c r="F86" s="11"/>
      <c r="G86" s="11"/>
      <c r="H86" s="11"/>
      <c r="I86" s="12"/>
    </row>
    <row r="87" spans="2:9" x14ac:dyDescent="0.25">
      <c r="B87" s="9" t="s">
        <v>1</v>
      </c>
      <c r="C87" s="10" t="s">
        <v>2</v>
      </c>
      <c r="D87" s="10" t="s">
        <v>3</v>
      </c>
      <c r="E87" s="10" t="s">
        <v>23</v>
      </c>
      <c r="F87" s="10" t="s">
        <v>4</v>
      </c>
      <c r="G87" s="10" t="s">
        <v>7</v>
      </c>
      <c r="H87" s="11"/>
      <c r="I87" s="12"/>
    </row>
    <row r="88" spans="2:9" x14ac:dyDescent="0.25">
      <c r="B88" s="13">
        <v>0</v>
      </c>
      <c r="C88" s="11">
        <v>30</v>
      </c>
      <c r="D88" s="14">
        <f>C88*4.448</f>
        <v>133.44</v>
      </c>
      <c r="E88" s="11">
        <v>1.2370000000000001</v>
      </c>
      <c r="F88" s="14"/>
      <c r="G88" s="11"/>
      <c r="H88" s="11"/>
      <c r="I88" s="12"/>
    </row>
    <row r="89" spans="2:9" x14ac:dyDescent="0.25">
      <c r="B89" s="15"/>
      <c r="C89" s="11">
        <v>320</v>
      </c>
      <c r="D89" s="14">
        <f t="shared" ref="D89:D94" si="11">C89*4.448</f>
        <v>1423.3600000000001</v>
      </c>
      <c r="E89" s="11">
        <v>1.3620000000000001</v>
      </c>
      <c r="F89" s="14"/>
      <c r="G89" s="14"/>
      <c r="H89" s="11"/>
      <c r="I89" s="12"/>
    </row>
    <row r="90" spans="2:9" x14ac:dyDescent="0.25">
      <c r="B90" s="15"/>
      <c r="C90" s="11">
        <v>617</v>
      </c>
      <c r="D90" s="14">
        <f t="shared" si="11"/>
        <v>2744.4160000000002</v>
      </c>
      <c r="E90" s="11">
        <v>1.5029999999999999</v>
      </c>
      <c r="F90" s="14"/>
      <c r="G90" s="14"/>
      <c r="H90" s="11"/>
      <c r="I90" s="12"/>
    </row>
    <row r="91" spans="2:9" x14ac:dyDescent="0.25">
      <c r="B91" s="15"/>
      <c r="C91" s="11">
        <v>915</v>
      </c>
      <c r="D91" s="14">
        <f t="shared" si="11"/>
        <v>4069.9200000000005</v>
      </c>
      <c r="E91" s="11">
        <v>1.641</v>
      </c>
      <c r="F91" s="14"/>
      <c r="G91" s="14"/>
      <c r="H91" s="11"/>
      <c r="I91" s="12"/>
    </row>
    <row r="92" spans="2:9" x14ac:dyDescent="0.25">
      <c r="B92" s="15"/>
      <c r="C92" s="11">
        <v>1230</v>
      </c>
      <c r="D92" s="14">
        <f t="shared" si="11"/>
        <v>5471.0400000000009</v>
      </c>
      <c r="E92" s="11">
        <v>1.786</v>
      </c>
      <c r="F92" s="14"/>
      <c r="G92" s="14"/>
      <c r="H92" s="11"/>
      <c r="I92" s="12"/>
    </row>
    <row r="93" spans="2:9" x14ac:dyDescent="0.25">
      <c r="B93" s="15"/>
      <c r="C93" s="11">
        <v>1520</v>
      </c>
      <c r="D93" s="14">
        <f t="shared" si="11"/>
        <v>6760.9600000000009</v>
      </c>
      <c r="E93" s="11">
        <v>1.9239999999999999</v>
      </c>
      <c r="F93" s="14"/>
      <c r="G93" s="11"/>
      <c r="H93" s="10" t="s">
        <v>19</v>
      </c>
      <c r="I93" s="16" t="s">
        <v>20</v>
      </c>
    </row>
    <row r="94" spans="2:9" x14ac:dyDescent="0.25">
      <c r="B94" s="15"/>
      <c r="C94" s="11">
        <v>1860</v>
      </c>
      <c r="D94" s="14">
        <f t="shared" si="11"/>
        <v>8273.2800000000007</v>
      </c>
      <c r="E94" s="11">
        <v>2.0840000000000001</v>
      </c>
      <c r="F94" s="14"/>
      <c r="G94" s="11"/>
      <c r="H94" s="14" cm="1">
        <f t="array" ref="H94:I94">LINEST(D91:D94,E91:E94,1,0)</f>
        <v>9474.8343937364625</v>
      </c>
      <c r="I94" s="17">
        <v>-11467.54842935765</v>
      </c>
    </row>
    <row r="95" spans="2:9" x14ac:dyDescent="0.25">
      <c r="B95" s="15"/>
      <c r="C95" s="11"/>
      <c r="D95" s="11"/>
      <c r="E95" s="11"/>
      <c r="F95" s="11"/>
      <c r="G95" s="11"/>
      <c r="H95" s="11"/>
      <c r="I95" s="12"/>
    </row>
    <row r="96" spans="2:9" x14ac:dyDescent="0.25">
      <c r="B96" s="15"/>
      <c r="C96" s="11"/>
      <c r="D96" s="11"/>
      <c r="E96" s="11"/>
      <c r="F96" s="11"/>
      <c r="G96" s="10" t="s">
        <v>21</v>
      </c>
      <c r="H96" s="18">
        <f>H94*0.5+H84*0.5</f>
        <v>9398.4085143905213</v>
      </c>
      <c r="I96" s="19">
        <f>I94*0.5+I84*0.5</f>
        <v>-11328.230987127987</v>
      </c>
    </row>
    <row r="97" spans="2:9" x14ac:dyDescent="0.25">
      <c r="B97" s="20"/>
      <c r="C97" s="21"/>
      <c r="D97" s="21"/>
      <c r="E97" s="21"/>
      <c r="F97" s="21"/>
      <c r="G97" s="21"/>
      <c r="H97" s="22">
        <f>_xlfn.STDEV.P(H74,H84)/H96</f>
        <v>7.4976157851948597E-3</v>
      </c>
      <c r="I97" s="23">
        <f>_xlfn.STDEV.P(I74,I84)/I96</f>
        <v>-1.6147031736113863E-2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6B59-1F72-4D2D-BEF0-A1BBE173ED87}">
  <dimension ref="B1:V97"/>
  <sheetViews>
    <sheetView showGridLines="0" zoomScaleNormal="100" workbookViewId="0"/>
  </sheetViews>
  <sheetFormatPr defaultRowHeight="15" x14ac:dyDescent="0.25"/>
  <cols>
    <col min="1" max="1" width="3.7109375" customWidth="1"/>
    <col min="2" max="2" width="15.28515625" customWidth="1"/>
    <col min="3" max="3" width="24.5703125" customWidth="1"/>
    <col min="4" max="4" width="21.7109375" customWidth="1"/>
    <col min="5" max="5" width="18.42578125" bestFit="1" customWidth="1"/>
  </cols>
  <sheetData>
    <row r="1" spans="2:22" x14ac:dyDescent="0.25">
      <c r="V1" t="s">
        <v>12</v>
      </c>
    </row>
    <row r="2" spans="2:22" x14ac:dyDescent="0.25">
      <c r="B2" s="5" t="s">
        <v>16</v>
      </c>
      <c r="C2" s="6"/>
      <c r="D2" s="7"/>
      <c r="E2" s="6"/>
      <c r="F2" s="7"/>
      <c r="G2" s="7"/>
      <c r="H2" s="8"/>
    </row>
    <row r="3" spans="2:22" x14ac:dyDescent="0.25">
      <c r="B3" s="9" t="s">
        <v>1</v>
      </c>
      <c r="C3" s="10" t="s">
        <v>2</v>
      </c>
      <c r="D3" s="10" t="s">
        <v>23</v>
      </c>
      <c r="E3" s="10" t="s">
        <v>3</v>
      </c>
      <c r="F3" s="11"/>
      <c r="G3" s="11"/>
      <c r="H3" s="12"/>
    </row>
    <row r="4" spans="2:22" x14ac:dyDescent="0.25">
      <c r="B4" s="13">
        <v>0</v>
      </c>
      <c r="C4" s="34">
        <v>1</v>
      </c>
      <c r="D4" s="35">
        <v>1.1990000000000001</v>
      </c>
      <c r="E4" s="36">
        <f t="shared" ref="E4:E10" si="0">C4*4.448</f>
        <v>4.4480000000000004</v>
      </c>
      <c r="F4" s="11"/>
      <c r="G4" s="11"/>
      <c r="H4" s="12"/>
    </row>
    <row r="5" spans="2:22" x14ac:dyDescent="0.25">
      <c r="B5" s="15"/>
      <c r="C5" s="34">
        <v>310</v>
      </c>
      <c r="D5" s="34">
        <v>1.256</v>
      </c>
      <c r="E5" s="36">
        <f t="shared" si="0"/>
        <v>1378.88</v>
      </c>
      <c r="F5" s="11"/>
      <c r="G5" s="11"/>
      <c r="H5" s="12"/>
    </row>
    <row r="6" spans="2:22" x14ac:dyDescent="0.25">
      <c r="B6" s="15"/>
      <c r="C6" s="34">
        <v>604</v>
      </c>
      <c r="D6" s="34">
        <v>1.3959999999999999</v>
      </c>
      <c r="E6" s="36">
        <f t="shared" si="0"/>
        <v>2686.5920000000001</v>
      </c>
      <c r="F6" s="11"/>
      <c r="G6" s="11"/>
      <c r="H6" s="12"/>
    </row>
    <row r="7" spans="2:22" x14ac:dyDescent="0.25">
      <c r="B7" s="15"/>
      <c r="C7" s="34">
        <v>920</v>
      </c>
      <c r="D7" s="34">
        <v>1.5469999999999999</v>
      </c>
      <c r="E7" s="36">
        <f t="shared" si="0"/>
        <v>4092.1600000000003</v>
      </c>
      <c r="F7" s="11"/>
      <c r="G7" s="11"/>
      <c r="H7" s="12"/>
    </row>
    <row r="8" spans="2:22" x14ac:dyDescent="0.25">
      <c r="B8" s="15"/>
      <c r="C8" s="34">
        <v>1200</v>
      </c>
      <c r="D8" s="34">
        <v>1.6850000000000001</v>
      </c>
      <c r="E8" s="36">
        <f t="shared" si="0"/>
        <v>5337.6</v>
      </c>
      <c r="F8" s="11"/>
      <c r="G8" s="11"/>
      <c r="H8" s="12"/>
    </row>
    <row r="9" spans="2:22" x14ac:dyDescent="0.25">
      <c r="B9" s="15"/>
      <c r="C9" s="34">
        <v>1510</v>
      </c>
      <c r="D9" s="34">
        <v>1.8360000000000001</v>
      </c>
      <c r="E9" s="36">
        <f t="shared" si="0"/>
        <v>6716.4800000000005</v>
      </c>
      <c r="F9" s="11"/>
      <c r="G9" s="10" t="s">
        <v>19</v>
      </c>
      <c r="H9" s="16" t="s">
        <v>20</v>
      </c>
      <c r="I9" s="1"/>
    </row>
    <row r="10" spans="2:22" x14ac:dyDescent="0.25">
      <c r="B10" s="20"/>
      <c r="C10" s="37">
        <v>1850</v>
      </c>
      <c r="D10" s="37">
        <v>2.0049999999999999</v>
      </c>
      <c r="E10" s="38">
        <f t="shared" si="0"/>
        <v>8228.8000000000011</v>
      </c>
      <c r="F10" s="21"/>
      <c r="G10" s="39" cm="1">
        <f t="array" ref="G10:H10">LINEST(E7:E10,D7:D10,1,0)</f>
        <v>9040.8467016097748</v>
      </c>
      <c r="H10" s="40">
        <v>-9892.7171801214845</v>
      </c>
      <c r="I10" s="2"/>
    </row>
    <row r="12" spans="2:22" x14ac:dyDescent="0.25">
      <c r="B12" s="5" t="s">
        <v>17</v>
      </c>
      <c r="C12" s="6"/>
      <c r="D12" s="7"/>
      <c r="E12" s="6"/>
      <c r="F12" s="7"/>
      <c r="G12" s="7"/>
      <c r="H12" s="8"/>
    </row>
    <row r="13" spans="2:22" x14ac:dyDescent="0.25">
      <c r="B13" s="9" t="s">
        <v>1</v>
      </c>
      <c r="C13" s="10" t="s">
        <v>2</v>
      </c>
      <c r="D13" s="10" t="s">
        <v>23</v>
      </c>
      <c r="E13" s="10" t="s">
        <v>3</v>
      </c>
      <c r="F13" s="11"/>
      <c r="G13" s="11"/>
      <c r="H13" s="12"/>
    </row>
    <row r="14" spans="2:22" x14ac:dyDescent="0.25">
      <c r="B14" s="13">
        <v>0</v>
      </c>
      <c r="C14" s="34">
        <v>1</v>
      </c>
      <c r="D14" s="34">
        <v>1.1879999999999999</v>
      </c>
      <c r="E14" s="36">
        <f t="shared" ref="E14:E20" si="1">C14*4.448</f>
        <v>4.4480000000000004</v>
      </c>
      <c r="F14" s="11"/>
      <c r="G14" s="11"/>
      <c r="H14" s="12"/>
    </row>
    <row r="15" spans="2:22" x14ac:dyDescent="0.25">
      <c r="B15" s="15"/>
      <c r="C15" s="34">
        <v>350</v>
      </c>
      <c r="D15" s="34">
        <v>1.27</v>
      </c>
      <c r="E15" s="36">
        <f t="shared" si="1"/>
        <v>1556.8000000000002</v>
      </c>
      <c r="F15" s="11"/>
      <c r="G15" s="11"/>
      <c r="H15" s="12"/>
    </row>
    <row r="16" spans="2:22" x14ac:dyDescent="0.25">
      <c r="B16" s="15"/>
      <c r="C16" s="34">
        <v>620</v>
      </c>
      <c r="D16" s="34">
        <v>1.399</v>
      </c>
      <c r="E16" s="36">
        <f t="shared" si="1"/>
        <v>2757.76</v>
      </c>
      <c r="F16" s="11"/>
      <c r="G16" s="11"/>
      <c r="H16" s="12"/>
    </row>
    <row r="17" spans="2:9" x14ac:dyDescent="0.25">
      <c r="B17" s="15"/>
      <c r="C17" s="34">
        <v>970</v>
      </c>
      <c r="D17" s="34">
        <v>1.5680000000000001</v>
      </c>
      <c r="E17" s="36">
        <f t="shared" si="1"/>
        <v>4314.5600000000004</v>
      </c>
      <c r="F17" s="11"/>
      <c r="G17" s="11"/>
      <c r="H17" s="12"/>
    </row>
    <row r="18" spans="2:9" x14ac:dyDescent="0.25">
      <c r="B18" s="15"/>
      <c r="C18" s="34">
        <v>1230</v>
      </c>
      <c r="D18" s="34">
        <v>1.6970000000000001</v>
      </c>
      <c r="E18" s="36">
        <f t="shared" si="1"/>
        <v>5471.0400000000009</v>
      </c>
      <c r="F18" s="11"/>
      <c r="G18" s="11"/>
      <c r="H18" s="12"/>
    </row>
    <row r="19" spans="2:9" x14ac:dyDescent="0.25">
      <c r="B19" s="15"/>
      <c r="C19" s="34">
        <v>1500</v>
      </c>
      <c r="D19" s="34">
        <v>1.831</v>
      </c>
      <c r="E19" s="36">
        <f t="shared" si="1"/>
        <v>6672.0000000000009</v>
      </c>
      <c r="F19" s="11"/>
      <c r="G19" s="10" t="s">
        <v>19</v>
      </c>
      <c r="H19" s="16" t="s">
        <v>20</v>
      </c>
      <c r="I19" s="1"/>
    </row>
    <row r="20" spans="2:9" x14ac:dyDescent="0.25">
      <c r="B20" s="20"/>
      <c r="C20" s="37">
        <v>1810</v>
      </c>
      <c r="D20" s="37">
        <v>1.982</v>
      </c>
      <c r="E20" s="38">
        <f t="shared" si="1"/>
        <v>8050.880000000001</v>
      </c>
      <c r="F20" s="21"/>
      <c r="G20" s="39" cm="1">
        <f t="array" ref="G20:H20">LINEST(E17:E20,D17:D20,1,0)</f>
        <v>9020.3884089158983</v>
      </c>
      <c r="H20" s="40">
        <v>-9834.4572895766814</v>
      </c>
      <c r="I20" s="2"/>
    </row>
    <row r="22" spans="2:9" x14ac:dyDescent="0.25">
      <c r="B22" s="5" t="s">
        <v>18</v>
      </c>
      <c r="C22" s="6"/>
      <c r="D22" s="7"/>
      <c r="E22" s="6"/>
      <c r="F22" s="7"/>
      <c r="G22" s="7"/>
      <c r="H22" s="8"/>
    </row>
    <row r="23" spans="2:9" x14ac:dyDescent="0.25">
      <c r="B23" s="9" t="s">
        <v>1</v>
      </c>
      <c r="C23" s="10" t="s">
        <v>2</v>
      </c>
      <c r="D23" s="10" t="s">
        <v>23</v>
      </c>
      <c r="E23" s="10" t="s">
        <v>3</v>
      </c>
      <c r="F23" s="11"/>
      <c r="G23" s="11"/>
      <c r="H23" s="12"/>
    </row>
    <row r="24" spans="2:9" x14ac:dyDescent="0.25">
      <c r="B24" s="13">
        <v>0</v>
      </c>
      <c r="C24" s="34">
        <v>6</v>
      </c>
      <c r="D24" s="34">
        <v>1.1830000000000001</v>
      </c>
      <c r="E24" s="36">
        <f t="shared" ref="E24:E30" si="2">C24*4.448</f>
        <v>26.688000000000002</v>
      </c>
      <c r="F24" s="11"/>
      <c r="G24" s="11"/>
      <c r="H24" s="12"/>
    </row>
    <row r="25" spans="2:9" x14ac:dyDescent="0.25">
      <c r="B25" s="15"/>
      <c r="C25" s="34">
        <v>340</v>
      </c>
      <c r="D25" s="34">
        <v>1.266</v>
      </c>
      <c r="E25" s="36">
        <f t="shared" si="2"/>
        <v>1512.3200000000002</v>
      </c>
      <c r="F25" s="11"/>
      <c r="G25" s="11"/>
      <c r="H25" s="12"/>
    </row>
    <row r="26" spans="2:9" x14ac:dyDescent="0.25">
      <c r="B26" s="15"/>
      <c r="C26" s="34">
        <v>630</v>
      </c>
      <c r="D26" s="34">
        <v>1.4019999999999999</v>
      </c>
      <c r="E26" s="36">
        <f t="shared" si="2"/>
        <v>2802.2400000000002</v>
      </c>
      <c r="F26" s="11"/>
      <c r="G26" s="11"/>
      <c r="H26" s="12"/>
    </row>
    <row r="27" spans="2:9" x14ac:dyDescent="0.25">
      <c r="B27" s="15"/>
      <c r="C27" s="34">
        <v>940</v>
      </c>
      <c r="D27" s="34">
        <v>1.552</v>
      </c>
      <c r="E27" s="36">
        <f t="shared" si="2"/>
        <v>4181.1200000000008</v>
      </c>
      <c r="F27" s="11"/>
      <c r="G27" s="11"/>
      <c r="H27" s="12"/>
    </row>
    <row r="28" spans="2:9" x14ac:dyDescent="0.25">
      <c r="B28" s="15"/>
      <c r="C28" s="34">
        <v>1230</v>
      </c>
      <c r="D28" s="34">
        <v>1.694</v>
      </c>
      <c r="E28" s="36">
        <f t="shared" si="2"/>
        <v>5471.0400000000009</v>
      </c>
      <c r="F28" s="11"/>
      <c r="G28" s="11"/>
      <c r="H28" s="12"/>
    </row>
    <row r="29" spans="2:9" x14ac:dyDescent="0.25">
      <c r="B29" s="15"/>
      <c r="C29" s="34">
        <v>1580</v>
      </c>
      <c r="D29" s="34">
        <v>1.8660000000000001</v>
      </c>
      <c r="E29" s="36">
        <f t="shared" si="2"/>
        <v>7027.8400000000011</v>
      </c>
      <c r="F29" s="11"/>
      <c r="G29" s="10" t="s">
        <v>19</v>
      </c>
      <c r="H29" s="16" t="s">
        <v>20</v>
      </c>
      <c r="I29" s="1"/>
    </row>
    <row r="30" spans="2:9" x14ac:dyDescent="0.25">
      <c r="B30" s="20"/>
      <c r="C30" s="37">
        <v>1825</v>
      </c>
      <c r="D30" s="37">
        <v>1.9870000000000001</v>
      </c>
      <c r="E30" s="38">
        <f t="shared" si="2"/>
        <v>8117.6</v>
      </c>
      <c r="F30" s="21"/>
      <c r="G30" s="39" cm="1">
        <f t="array" ref="G30:H30">LINEST(E27:E30,D27:D30,1,0)</f>
        <v>9050.105488073521</v>
      </c>
      <c r="H30" s="40">
        <v>-9862.2747149584811</v>
      </c>
      <c r="I30" s="2"/>
    </row>
    <row r="33" spans="6:10" x14ac:dyDescent="0.25">
      <c r="F33" s="41" t="s">
        <v>22</v>
      </c>
      <c r="G33" s="42">
        <f>(G10+G20+G30)/3</f>
        <v>9037.1135328663986</v>
      </c>
      <c r="H33" s="42">
        <f>(H10+H20+H30)/3</f>
        <v>-9863.1497282188811</v>
      </c>
      <c r="I33" s="7"/>
      <c r="J33" s="8"/>
    </row>
    <row r="34" spans="6:10" x14ac:dyDescent="0.25">
      <c r="F34" s="43" t="s">
        <v>29</v>
      </c>
      <c r="G34" s="44">
        <f>_xlfn.STDEV.P(G10,G20,G30)/AVERAGE(G10,G20,G30)</f>
        <v>1.3738692917434248E-3</v>
      </c>
      <c r="H34" s="44">
        <f>_xlfn.STDEV.P(H10,H20,H30)/AVERAGE(H10,H20,H30)</f>
        <v>-2.4122666466786318E-3</v>
      </c>
      <c r="I34" s="11"/>
      <c r="J34" s="12"/>
    </row>
    <row r="35" spans="6:10" x14ac:dyDescent="0.25">
      <c r="F35" s="15"/>
      <c r="G35" s="11"/>
      <c r="H35" s="11"/>
      <c r="I35" s="11"/>
      <c r="J35" s="12"/>
    </row>
    <row r="36" spans="6:10" x14ac:dyDescent="0.25">
      <c r="F36" s="20" t="s">
        <v>30</v>
      </c>
      <c r="G36" s="30">
        <f>G33</f>
        <v>9037.1135328663986</v>
      </c>
      <c r="H36" s="45">
        <f>G34</f>
        <v>1.3738692917434248E-3</v>
      </c>
      <c r="I36" s="30">
        <f>H33</f>
        <v>-9863.1497282188811</v>
      </c>
      <c r="J36" s="46">
        <f>H34</f>
        <v>-2.4122666466786318E-3</v>
      </c>
    </row>
    <row r="73" spans="6:9" x14ac:dyDescent="0.25">
      <c r="F73" s="1"/>
      <c r="G73" s="1"/>
      <c r="H73" s="1"/>
      <c r="I73" s="1"/>
    </row>
    <row r="74" spans="6:9" x14ac:dyDescent="0.25">
      <c r="F74" s="2"/>
      <c r="G74" s="2"/>
      <c r="H74" s="2"/>
      <c r="I74" s="2"/>
    </row>
    <row r="83" spans="6:9" x14ac:dyDescent="0.25">
      <c r="F83" s="1"/>
      <c r="G83" s="1"/>
      <c r="H83" s="1"/>
      <c r="I83" s="1"/>
    </row>
    <row r="84" spans="6:9" x14ac:dyDescent="0.25">
      <c r="F84" s="2"/>
      <c r="G84" s="2"/>
      <c r="H84" s="2"/>
      <c r="I84" s="2"/>
    </row>
    <row r="93" spans="6:9" x14ac:dyDescent="0.25">
      <c r="F93" s="1" t="s">
        <v>20</v>
      </c>
      <c r="G93" s="1"/>
      <c r="H93" s="1"/>
      <c r="I93" s="1"/>
    </row>
    <row r="94" spans="6:9" x14ac:dyDescent="0.25">
      <c r="F94" s="2"/>
      <c r="G94" s="2"/>
      <c r="H94" s="2"/>
      <c r="I94" s="2"/>
    </row>
    <row r="96" spans="6:9" x14ac:dyDescent="0.25">
      <c r="F96" s="3">
        <f>F94*0.5+F84*0.5</f>
        <v>0</v>
      </c>
      <c r="G96" s="3"/>
      <c r="H96" s="3"/>
      <c r="I96" s="3"/>
    </row>
    <row r="97" spans="6:9" x14ac:dyDescent="0.25">
      <c r="F97" s="4" t="e">
        <f>F94/F84-1</f>
        <v>#DIV/0!</v>
      </c>
      <c r="G97" s="4"/>
      <c r="H97" s="4"/>
      <c r="I97" s="4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2638-D234-48EF-AE80-558E57EED588}">
  <dimension ref="B1:V97"/>
  <sheetViews>
    <sheetView showGridLines="0" zoomScaleNormal="100" workbookViewId="0"/>
  </sheetViews>
  <sheetFormatPr defaultRowHeight="15" x14ac:dyDescent="0.25"/>
  <cols>
    <col min="1" max="1" width="3.7109375" customWidth="1"/>
    <col min="2" max="2" width="15.28515625" customWidth="1"/>
    <col min="3" max="3" width="24.5703125" customWidth="1"/>
    <col min="4" max="4" width="21.7109375" customWidth="1"/>
    <col min="5" max="5" width="18.42578125" bestFit="1" customWidth="1"/>
  </cols>
  <sheetData>
    <row r="1" spans="2:22" x14ac:dyDescent="0.25">
      <c r="V1" t="s">
        <v>12</v>
      </c>
    </row>
    <row r="2" spans="2:22" x14ac:dyDescent="0.25">
      <c r="B2" s="5" t="s">
        <v>16</v>
      </c>
      <c r="C2" s="6"/>
      <c r="D2" s="7"/>
      <c r="E2" s="6"/>
      <c r="F2" s="7"/>
      <c r="G2" s="7"/>
      <c r="H2" s="8"/>
    </row>
    <row r="3" spans="2:22" x14ac:dyDescent="0.25">
      <c r="B3" s="9" t="s">
        <v>1</v>
      </c>
      <c r="C3" s="10" t="s">
        <v>2</v>
      </c>
      <c r="D3" s="10" t="s">
        <v>23</v>
      </c>
      <c r="E3" s="10" t="s">
        <v>3</v>
      </c>
      <c r="F3" s="11"/>
      <c r="G3" s="11"/>
      <c r="H3" s="12"/>
    </row>
    <row r="4" spans="2:22" x14ac:dyDescent="0.25">
      <c r="B4" s="13">
        <v>0</v>
      </c>
      <c r="C4" s="34">
        <v>3</v>
      </c>
      <c r="D4" s="35">
        <v>1.161</v>
      </c>
      <c r="E4" s="36">
        <f t="shared" ref="E4:E10" si="0">C4*4.448</f>
        <v>13.344000000000001</v>
      </c>
      <c r="F4" s="11"/>
      <c r="G4" s="11"/>
      <c r="H4" s="12"/>
    </row>
    <row r="5" spans="2:22" x14ac:dyDescent="0.25">
      <c r="B5" s="15"/>
      <c r="C5" s="34">
        <v>350</v>
      </c>
      <c r="D5" s="34">
        <v>1.2110000000000001</v>
      </c>
      <c r="E5" s="36">
        <f t="shared" si="0"/>
        <v>1556.8000000000002</v>
      </c>
      <c r="F5" s="11"/>
      <c r="G5" s="11"/>
      <c r="H5" s="12"/>
    </row>
    <row r="6" spans="2:22" x14ac:dyDescent="0.25">
      <c r="B6" s="15"/>
      <c r="C6" s="34">
        <v>650</v>
      </c>
      <c r="D6" s="34">
        <v>1.341</v>
      </c>
      <c r="E6" s="36">
        <f t="shared" si="0"/>
        <v>2891.2000000000003</v>
      </c>
      <c r="F6" s="11"/>
      <c r="G6" s="11"/>
      <c r="H6" s="12"/>
    </row>
    <row r="7" spans="2:22" x14ac:dyDescent="0.25">
      <c r="B7" s="15"/>
      <c r="C7" s="34">
        <v>920</v>
      </c>
      <c r="D7" s="34">
        <v>1.466</v>
      </c>
      <c r="E7" s="36">
        <f t="shared" si="0"/>
        <v>4092.1600000000003</v>
      </c>
      <c r="F7" s="11"/>
      <c r="G7" s="11"/>
      <c r="H7" s="12"/>
    </row>
    <row r="8" spans="2:22" x14ac:dyDescent="0.25">
      <c r="B8" s="15"/>
      <c r="C8" s="34">
        <v>1230</v>
      </c>
      <c r="D8" s="34">
        <v>1.617</v>
      </c>
      <c r="E8" s="36">
        <f t="shared" si="0"/>
        <v>5471.0400000000009</v>
      </c>
      <c r="F8" s="11"/>
      <c r="G8" s="11"/>
      <c r="H8" s="12"/>
    </row>
    <row r="9" spans="2:22" x14ac:dyDescent="0.25">
      <c r="B9" s="15"/>
      <c r="C9" s="34">
        <v>1580</v>
      </c>
      <c r="D9" s="34">
        <v>1.7889999999999999</v>
      </c>
      <c r="E9" s="36">
        <f t="shared" si="0"/>
        <v>7027.8400000000011</v>
      </c>
      <c r="F9" s="11"/>
      <c r="G9" s="10" t="s">
        <v>19</v>
      </c>
      <c r="H9" s="16" t="s">
        <v>20</v>
      </c>
      <c r="I9" s="1"/>
    </row>
    <row r="10" spans="2:22" x14ac:dyDescent="0.25">
      <c r="B10" s="20"/>
      <c r="C10" s="37">
        <v>1810</v>
      </c>
      <c r="D10" s="37">
        <v>1.903</v>
      </c>
      <c r="E10" s="38">
        <f t="shared" si="0"/>
        <v>8050.880000000001</v>
      </c>
      <c r="F10" s="21"/>
      <c r="G10" s="39" cm="1">
        <f t="array" ref="G10:H10">LINEST(E7:E10,D7:D10,1,0)</f>
        <v>9059.5549127069353</v>
      </c>
      <c r="H10" s="40">
        <v>-9184.1411333973738</v>
      </c>
      <c r="I10" s="2"/>
    </row>
    <row r="12" spans="2:22" x14ac:dyDescent="0.25">
      <c r="B12" s="5" t="s">
        <v>17</v>
      </c>
      <c r="C12" s="6"/>
      <c r="D12" s="7"/>
      <c r="E12" s="6"/>
      <c r="F12" s="7"/>
      <c r="G12" s="7"/>
      <c r="H12" s="8"/>
    </row>
    <row r="13" spans="2:22" x14ac:dyDescent="0.25">
      <c r="B13" s="9" t="s">
        <v>1</v>
      </c>
      <c r="C13" s="10" t="s">
        <v>2</v>
      </c>
      <c r="D13" s="10" t="s">
        <v>23</v>
      </c>
      <c r="E13" s="10" t="s">
        <v>3</v>
      </c>
      <c r="F13" s="11"/>
      <c r="G13" s="11"/>
      <c r="H13" s="12"/>
    </row>
    <row r="14" spans="2:22" x14ac:dyDescent="0.25">
      <c r="B14" s="13">
        <v>0</v>
      </c>
      <c r="C14" s="34">
        <v>6</v>
      </c>
      <c r="D14" s="34">
        <v>1.1439999999999999</v>
      </c>
      <c r="E14" s="36">
        <f t="shared" ref="E14:E20" si="1">C14*4.448</f>
        <v>26.688000000000002</v>
      </c>
      <c r="F14" s="11"/>
      <c r="G14" s="11"/>
      <c r="H14" s="12"/>
    </row>
    <row r="15" spans="2:22" x14ac:dyDescent="0.25">
      <c r="B15" s="15"/>
      <c r="C15" s="34">
        <v>330</v>
      </c>
      <c r="D15" s="34">
        <v>1.1930000000000001</v>
      </c>
      <c r="E15" s="36">
        <f t="shared" si="1"/>
        <v>1467.8400000000001</v>
      </c>
      <c r="F15" s="11"/>
      <c r="G15" s="11"/>
      <c r="H15" s="12"/>
    </row>
    <row r="16" spans="2:22" x14ac:dyDescent="0.25">
      <c r="B16" s="15"/>
      <c r="C16" s="34">
        <v>660</v>
      </c>
      <c r="D16" s="34">
        <v>1.343</v>
      </c>
      <c r="E16" s="36">
        <f t="shared" si="1"/>
        <v>2935.6800000000003</v>
      </c>
      <c r="F16" s="11"/>
      <c r="G16" s="11"/>
      <c r="H16" s="12"/>
    </row>
    <row r="17" spans="2:9" x14ac:dyDescent="0.25">
      <c r="B17" s="15"/>
      <c r="C17" s="34">
        <v>940</v>
      </c>
      <c r="D17" s="34">
        <v>1.4770000000000001</v>
      </c>
      <c r="E17" s="36">
        <f t="shared" si="1"/>
        <v>4181.1200000000008</v>
      </c>
      <c r="F17" s="11"/>
      <c r="G17" s="11"/>
      <c r="H17" s="12"/>
    </row>
    <row r="18" spans="2:9" x14ac:dyDescent="0.25">
      <c r="B18" s="15"/>
      <c r="C18" s="34">
        <v>1220</v>
      </c>
      <c r="D18" s="34">
        <v>1.6120000000000001</v>
      </c>
      <c r="E18" s="36">
        <f t="shared" si="1"/>
        <v>5426.56</v>
      </c>
      <c r="F18" s="11"/>
      <c r="G18" s="11"/>
      <c r="H18" s="12"/>
    </row>
    <row r="19" spans="2:9" x14ac:dyDescent="0.25">
      <c r="B19" s="15"/>
      <c r="C19" s="34">
        <v>1560</v>
      </c>
      <c r="D19" s="34">
        <v>1.7789999999999999</v>
      </c>
      <c r="E19" s="36">
        <f t="shared" si="1"/>
        <v>6938.880000000001</v>
      </c>
      <c r="F19" s="11"/>
      <c r="G19" s="10" t="s">
        <v>19</v>
      </c>
      <c r="H19" s="16" t="s">
        <v>20</v>
      </c>
      <c r="I19" s="1"/>
    </row>
    <row r="20" spans="2:9" x14ac:dyDescent="0.25">
      <c r="B20" s="20"/>
      <c r="C20" s="37">
        <v>1820</v>
      </c>
      <c r="D20" s="37">
        <v>1.91</v>
      </c>
      <c r="E20" s="38">
        <f t="shared" si="1"/>
        <v>8095.3600000000006</v>
      </c>
      <c r="F20" s="21"/>
      <c r="G20" s="39" cm="1">
        <f t="array" ref="G20:H20">LINEST(E17:E20,D17:D20,1,0)</f>
        <v>9042.3763847232476</v>
      </c>
      <c r="H20" s="40">
        <v>-9161.8267839135442</v>
      </c>
      <c r="I20" s="2"/>
    </row>
    <row r="22" spans="2:9" x14ac:dyDescent="0.25">
      <c r="B22" s="5" t="s">
        <v>18</v>
      </c>
      <c r="C22" s="6"/>
      <c r="D22" s="7"/>
      <c r="E22" s="6"/>
      <c r="F22" s="7"/>
      <c r="G22" s="7"/>
      <c r="H22" s="8"/>
    </row>
    <row r="23" spans="2:9" x14ac:dyDescent="0.25">
      <c r="B23" s="9" t="s">
        <v>1</v>
      </c>
      <c r="C23" s="10" t="s">
        <v>2</v>
      </c>
      <c r="D23" s="10" t="s">
        <v>23</v>
      </c>
      <c r="E23" s="10" t="s">
        <v>3</v>
      </c>
      <c r="F23" s="11"/>
      <c r="G23" s="11"/>
      <c r="H23" s="12"/>
    </row>
    <row r="24" spans="2:9" x14ac:dyDescent="0.25">
      <c r="B24" s="13">
        <v>0</v>
      </c>
      <c r="C24" s="34">
        <v>7</v>
      </c>
      <c r="D24" s="34">
        <v>1.143</v>
      </c>
      <c r="E24" s="36">
        <f t="shared" ref="E24:E30" si="2">C24*4.448</f>
        <v>31.136000000000003</v>
      </c>
      <c r="F24" s="11"/>
      <c r="G24" s="11"/>
      <c r="H24" s="12"/>
    </row>
    <row r="25" spans="2:9" x14ac:dyDescent="0.25">
      <c r="B25" s="15"/>
      <c r="C25" s="34">
        <v>380</v>
      </c>
      <c r="D25" s="34">
        <v>1.2130000000000001</v>
      </c>
      <c r="E25" s="36">
        <f t="shared" si="2"/>
        <v>1690.2400000000002</v>
      </c>
      <c r="F25" s="11"/>
      <c r="G25" s="11"/>
      <c r="H25" s="12"/>
    </row>
    <row r="26" spans="2:9" x14ac:dyDescent="0.25">
      <c r="B26" s="15"/>
      <c r="C26" s="34">
        <v>650</v>
      </c>
      <c r="D26" s="34">
        <v>1.337</v>
      </c>
      <c r="E26" s="36">
        <f t="shared" si="2"/>
        <v>2891.2000000000003</v>
      </c>
      <c r="F26" s="11"/>
      <c r="G26" s="11"/>
      <c r="H26" s="12"/>
    </row>
    <row r="27" spans="2:9" x14ac:dyDescent="0.25">
      <c r="B27" s="15"/>
      <c r="C27" s="34">
        <v>970</v>
      </c>
      <c r="D27" s="34">
        <v>1.49</v>
      </c>
      <c r="E27" s="36">
        <f t="shared" si="2"/>
        <v>4314.5600000000004</v>
      </c>
      <c r="F27" s="11"/>
      <c r="G27" s="11"/>
      <c r="H27" s="12"/>
    </row>
    <row r="28" spans="2:9" x14ac:dyDescent="0.25">
      <c r="B28" s="15"/>
      <c r="C28" s="34">
        <v>1280</v>
      </c>
      <c r="D28" s="34">
        <v>1.641</v>
      </c>
      <c r="E28" s="36">
        <f t="shared" si="2"/>
        <v>5693.4400000000005</v>
      </c>
      <c r="F28" s="11"/>
      <c r="G28" s="11"/>
      <c r="H28" s="12"/>
    </row>
    <row r="29" spans="2:9" x14ac:dyDescent="0.25">
      <c r="B29" s="15"/>
      <c r="C29" s="34">
        <v>1550</v>
      </c>
      <c r="D29" s="34">
        <v>1.7749999999999999</v>
      </c>
      <c r="E29" s="36">
        <f t="shared" si="2"/>
        <v>6894.4000000000005</v>
      </c>
      <c r="F29" s="11"/>
      <c r="G29" s="10" t="s">
        <v>19</v>
      </c>
      <c r="H29" s="16" t="s">
        <v>20</v>
      </c>
      <c r="I29" s="1"/>
    </row>
    <row r="30" spans="2:9" x14ac:dyDescent="0.25">
      <c r="B30" s="20"/>
      <c r="C30" s="37">
        <v>1860</v>
      </c>
      <c r="D30" s="37">
        <v>1.929</v>
      </c>
      <c r="E30" s="38">
        <f t="shared" si="2"/>
        <v>8273.2800000000007</v>
      </c>
      <c r="F30" s="21"/>
      <c r="G30" s="39" cm="1">
        <f t="array" ref="G30:H30">LINEST(E27:E30,D27:D30,1,0)</f>
        <v>9012.6884420321676</v>
      </c>
      <c r="H30" s="40">
        <v>-9106.5113753224687</v>
      </c>
      <c r="I30" s="2"/>
    </row>
    <row r="33" spans="6:10" x14ac:dyDescent="0.25">
      <c r="F33" s="41" t="s">
        <v>22</v>
      </c>
      <c r="G33" s="42">
        <f>(G10+G20+G30)/3</f>
        <v>9038.2065798207841</v>
      </c>
      <c r="H33" s="42">
        <f>(H10+H20+H30)/3</f>
        <v>-9150.8264308777962</v>
      </c>
      <c r="I33" s="7"/>
      <c r="J33" s="8"/>
    </row>
    <row r="34" spans="6:10" x14ac:dyDescent="0.25">
      <c r="F34" s="43" t="s">
        <v>29</v>
      </c>
      <c r="G34" s="44">
        <f>_xlfn.STDEV.P(G10,G20,G30)/AVERAGE(G10,G20,G30)</f>
        <v>2.1419084691316577E-3</v>
      </c>
      <c r="H34" s="44">
        <f>_xlfn.STDEV.P(H10,H20,H30)/AVERAGE(H10,H20,H30)</f>
        <v>-3.5661054841950521E-3</v>
      </c>
      <c r="I34" s="11"/>
      <c r="J34" s="12"/>
    </row>
    <row r="35" spans="6:10" x14ac:dyDescent="0.25">
      <c r="F35" s="15"/>
      <c r="G35" s="11"/>
      <c r="H35" s="11"/>
      <c r="I35" s="11"/>
      <c r="J35" s="12"/>
    </row>
    <row r="36" spans="6:10" x14ac:dyDescent="0.25">
      <c r="F36" s="20" t="s">
        <v>30</v>
      </c>
      <c r="G36" s="30">
        <f>G33</f>
        <v>9038.2065798207841</v>
      </c>
      <c r="H36" s="45">
        <f>G34</f>
        <v>2.1419084691316577E-3</v>
      </c>
      <c r="I36" s="30">
        <f>H33</f>
        <v>-9150.8264308777962</v>
      </c>
      <c r="J36" s="46">
        <f>H34</f>
        <v>-3.5661054841950521E-3</v>
      </c>
    </row>
    <row r="73" spans="6:9" x14ac:dyDescent="0.25">
      <c r="F73" s="1"/>
      <c r="G73" s="1"/>
      <c r="H73" s="1"/>
      <c r="I73" s="1"/>
    </row>
    <row r="74" spans="6:9" x14ac:dyDescent="0.25">
      <c r="F74" s="2"/>
      <c r="G74" s="2"/>
      <c r="H74" s="2"/>
      <c r="I74" s="2"/>
    </row>
    <row r="83" spans="6:9" x14ac:dyDescent="0.25">
      <c r="F83" s="1"/>
      <c r="G83" s="1"/>
      <c r="H83" s="1"/>
      <c r="I83" s="1"/>
    </row>
    <row r="84" spans="6:9" x14ac:dyDescent="0.25">
      <c r="F84" s="2"/>
      <c r="G84" s="2"/>
      <c r="H84" s="2"/>
      <c r="I84" s="2"/>
    </row>
    <row r="93" spans="6:9" x14ac:dyDescent="0.25">
      <c r="F93" s="1" t="s">
        <v>20</v>
      </c>
      <c r="G93" s="1"/>
      <c r="H93" s="1"/>
      <c r="I93" s="1"/>
    </row>
    <row r="94" spans="6:9" x14ac:dyDescent="0.25">
      <c r="F94" s="2"/>
      <c r="G94" s="2"/>
      <c r="H94" s="2"/>
      <c r="I94" s="2"/>
    </row>
    <row r="96" spans="6:9" x14ac:dyDescent="0.25">
      <c r="F96" s="3">
        <f>F94*0.5+F84*0.5</f>
        <v>0</v>
      </c>
      <c r="G96" s="3"/>
      <c r="H96" s="3"/>
      <c r="I96" s="3"/>
    </row>
    <row r="97" spans="6:9" x14ac:dyDescent="0.25">
      <c r="F97" s="4" t="e">
        <f>F94/F84-1</f>
        <v>#DIV/0!</v>
      </c>
      <c r="G97" s="4"/>
      <c r="H97" s="4"/>
      <c r="I97" s="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21DA-B942-4918-925D-1E60A2AB0C2E}">
  <dimension ref="B1:V97"/>
  <sheetViews>
    <sheetView showGridLines="0" zoomScaleNormal="100" workbookViewId="0"/>
  </sheetViews>
  <sheetFormatPr defaultRowHeight="15" x14ac:dyDescent="0.25"/>
  <cols>
    <col min="1" max="1" width="3.7109375" customWidth="1"/>
    <col min="2" max="2" width="15.28515625" customWidth="1"/>
    <col min="3" max="3" width="24.5703125" customWidth="1"/>
    <col min="4" max="4" width="21.7109375" customWidth="1"/>
    <col min="5" max="5" width="18.42578125" bestFit="1" customWidth="1"/>
  </cols>
  <sheetData>
    <row r="1" spans="2:22" x14ac:dyDescent="0.25">
      <c r="V1" t="s">
        <v>12</v>
      </c>
    </row>
    <row r="2" spans="2:22" x14ac:dyDescent="0.25">
      <c r="B2" s="5" t="s">
        <v>16</v>
      </c>
      <c r="C2" s="6"/>
      <c r="D2" s="7"/>
      <c r="E2" s="6"/>
      <c r="F2" s="7"/>
      <c r="G2" s="7"/>
      <c r="H2" s="8"/>
    </row>
    <row r="3" spans="2:22" x14ac:dyDescent="0.25">
      <c r="B3" s="9" t="s">
        <v>1</v>
      </c>
      <c r="C3" s="10" t="s">
        <v>2</v>
      </c>
      <c r="D3" s="10" t="s">
        <v>23</v>
      </c>
      <c r="E3" s="10" t="s">
        <v>3</v>
      </c>
      <c r="F3" s="11"/>
      <c r="G3" s="11"/>
      <c r="H3" s="12"/>
    </row>
    <row r="4" spans="2:22" x14ac:dyDescent="0.25">
      <c r="B4" s="13">
        <v>0</v>
      </c>
      <c r="C4" s="34">
        <v>6</v>
      </c>
      <c r="D4" s="35">
        <v>1.276</v>
      </c>
      <c r="E4" s="36">
        <f t="shared" ref="E4:E10" si="0">C4*4.448</f>
        <v>26.688000000000002</v>
      </c>
      <c r="F4" s="11"/>
      <c r="G4" s="11"/>
      <c r="H4" s="12"/>
    </row>
    <row r="5" spans="2:22" x14ac:dyDescent="0.25">
      <c r="B5" s="15"/>
      <c r="C5" s="34">
        <v>310</v>
      </c>
      <c r="D5" s="34">
        <v>1.377</v>
      </c>
      <c r="E5" s="36">
        <f t="shared" si="0"/>
        <v>1378.88</v>
      </c>
      <c r="F5" s="11"/>
      <c r="G5" s="11"/>
      <c r="H5" s="12"/>
    </row>
    <row r="6" spans="2:22" x14ac:dyDescent="0.25">
      <c r="B6" s="15"/>
      <c r="C6" s="34">
        <v>640</v>
      </c>
      <c r="D6" s="34">
        <v>1.532</v>
      </c>
      <c r="E6" s="36">
        <f t="shared" si="0"/>
        <v>2846.7200000000003</v>
      </c>
      <c r="F6" s="11"/>
      <c r="G6" s="11"/>
      <c r="H6" s="12"/>
    </row>
    <row r="7" spans="2:22" x14ac:dyDescent="0.25">
      <c r="B7" s="15"/>
      <c r="C7" s="34">
        <v>920</v>
      </c>
      <c r="D7" s="34">
        <v>1.6679999999999999</v>
      </c>
      <c r="E7" s="36">
        <f t="shared" si="0"/>
        <v>4092.1600000000003</v>
      </c>
      <c r="F7" s="11"/>
      <c r="G7" s="11"/>
      <c r="H7" s="12"/>
    </row>
    <row r="8" spans="2:22" x14ac:dyDescent="0.25">
      <c r="B8" s="15"/>
      <c r="C8" s="34">
        <v>1220</v>
      </c>
      <c r="D8" s="34">
        <v>1.8140000000000001</v>
      </c>
      <c r="E8" s="36">
        <f t="shared" si="0"/>
        <v>5426.56</v>
      </c>
      <c r="F8" s="11"/>
      <c r="G8" s="11"/>
      <c r="H8" s="12"/>
    </row>
    <row r="9" spans="2:22" x14ac:dyDescent="0.25">
      <c r="B9" s="15"/>
      <c r="C9" s="34">
        <v>1510</v>
      </c>
      <c r="D9" s="34">
        <v>1.95</v>
      </c>
      <c r="E9" s="36">
        <f t="shared" si="0"/>
        <v>6716.4800000000005</v>
      </c>
      <c r="F9" s="11"/>
      <c r="G9" s="10" t="s">
        <v>19</v>
      </c>
      <c r="H9" s="16" t="s">
        <v>20</v>
      </c>
      <c r="I9" s="1"/>
    </row>
    <row r="10" spans="2:22" x14ac:dyDescent="0.25">
      <c r="B10" s="20"/>
      <c r="C10" s="37">
        <v>1960</v>
      </c>
      <c r="D10" s="37">
        <v>2.16</v>
      </c>
      <c r="E10" s="38">
        <f t="shared" si="0"/>
        <v>8718.08</v>
      </c>
      <c r="F10" s="21"/>
      <c r="G10" s="39" cm="1">
        <f t="array" ref="G10:H10">LINEST(E7:E10,D7:D10,1,0)</f>
        <v>9416.0580028026507</v>
      </c>
      <c r="H10" s="40">
        <v>-11633.358089319434</v>
      </c>
      <c r="I10" s="2"/>
    </row>
    <row r="12" spans="2:22" x14ac:dyDescent="0.25">
      <c r="B12" s="5" t="s">
        <v>17</v>
      </c>
      <c r="C12" s="6"/>
      <c r="D12" s="7"/>
      <c r="E12" s="6"/>
      <c r="F12" s="7"/>
      <c r="G12" s="7"/>
      <c r="H12" s="8"/>
    </row>
    <row r="13" spans="2:22" x14ac:dyDescent="0.25">
      <c r="B13" s="9" t="s">
        <v>1</v>
      </c>
      <c r="C13" s="10" t="s">
        <v>2</v>
      </c>
      <c r="D13" s="10" t="s">
        <v>23</v>
      </c>
      <c r="E13" s="10" t="s">
        <v>3</v>
      </c>
      <c r="F13" s="11"/>
      <c r="G13" s="11"/>
      <c r="H13" s="12"/>
    </row>
    <row r="14" spans="2:22" x14ac:dyDescent="0.25">
      <c r="B14" s="13">
        <v>0</v>
      </c>
      <c r="C14" s="34">
        <v>7</v>
      </c>
      <c r="D14" s="34">
        <v>1.262</v>
      </c>
      <c r="E14" s="36">
        <f t="shared" ref="E14:E20" si="1">C14*4.448</f>
        <v>31.136000000000003</v>
      </c>
      <c r="F14" s="11"/>
      <c r="G14" s="11"/>
      <c r="H14" s="12"/>
    </row>
    <row r="15" spans="2:22" x14ac:dyDescent="0.25">
      <c r="B15" s="15"/>
      <c r="C15" s="34">
        <v>320</v>
      </c>
      <c r="D15" s="34">
        <v>1.375</v>
      </c>
      <c r="E15" s="36">
        <f t="shared" si="1"/>
        <v>1423.3600000000001</v>
      </c>
      <c r="F15" s="11"/>
      <c r="G15" s="11"/>
      <c r="H15" s="12"/>
    </row>
    <row r="16" spans="2:22" x14ac:dyDescent="0.25">
      <c r="B16" s="15"/>
      <c r="C16" s="34">
        <v>620</v>
      </c>
      <c r="D16" s="34">
        <v>1.52</v>
      </c>
      <c r="E16" s="36">
        <f t="shared" si="1"/>
        <v>2757.76</v>
      </c>
      <c r="F16" s="11"/>
      <c r="G16" s="11"/>
      <c r="H16" s="12"/>
    </row>
    <row r="17" spans="2:9" x14ac:dyDescent="0.25">
      <c r="B17" s="15"/>
      <c r="C17" s="34">
        <v>980</v>
      </c>
      <c r="D17" s="34">
        <v>1.694</v>
      </c>
      <c r="E17" s="36">
        <f t="shared" si="1"/>
        <v>4359.04</v>
      </c>
      <c r="F17" s="11"/>
      <c r="G17" s="11"/>
      <c r="H17" s="12"/>
    </row>
    <row r="18" spans="2:9" x14ac:dyDescent="0.25">
      <c r="B18" s="15"/>
      <c r="C18" s="34">
        <v>1240</v>
      </c>
      <c r="D18" s="34">
        <v>1.8169999999999999</v>
      </c>
      <c r="E18" s="36">
        <f t="shared" si="1"/>
        <v>5515.52</v>
      </c>
      <c r="F18" s="11"/>
      <c r="G18" s="11"/>
      <c r="H18" s="12"/>
    </row>
    <row r="19" spans="2:9" x14ac:dyDescent="0.25">
      <c r="B19" s="15"/>
      <c r="C19" s="34">
        <v>1540</v>
      </c>
      <c r="D19" s="34">
        <v>1.9590000000000001</v>
      </c>
      <c r="E19" s="36">
        <f t="shared" si="1"/>
        <v>6849.920000000001</v>
      </c>
      <c r="F19" s="11"/>
      <c r="G19" s="10" t="s">
        <v>19</v>
      </c>
      <c r="H19" s="16" t="s">
        <v>20</v>
      </c>
      <c r="I19" s="1"/>
    </row>
    <row r="20" spans="2:9" x14ac:dyDescent="0.25">
      <c r="B20" s="20"/>
      <c r="C20" s="37">
        <v>1850</v>
      </c>
      <c r="D20" s="37">
        <v>2.1059999999999999</v>
      </c>
      <c r="E20" s="38">
        <f t="shared" si="1"/>
        <v>8228.8000000000011</v>
      </c>
      <c r="F20" s="21"/>
      <c r="G20" s="39" cm="1">
        <f t="array" ref="G20:H20">LINEST(E17:E20,D17:D20,1,0)</f>
        <v>9392.9142568718635</v>
      </c>
      <c r="H20" s="40">
        <v>-11551.859602515307</v>
      </c>
      <c r="I20" s="2"/>
    </row>
    <row r="22" spans="2:9" x14ac:dyDescent="0.25">
      <c r="B22" s="5" t="s">
        <v>18</v>
      </c>
      <c r="C22" s="6"/>
      <c r="D22" s="7"/>
      <c r="E22" s="6"/>
      <c r="F22" s="7"/>
      <c r="G22" s="7"/>
      <c r="H22" s="8"/>
    </row>
    <row r="23" spans="2:9" x14ac:dyDescent="0.25">
      <c r="B23" s="9" t="s">
        <v>1</v>
      </c>
      <c r="C23" s="10" t="s">
        <v>2</v>
      </c>
      <c r="D23" s="10" t="s">
        <v>23</v>
      </c>
      <c r="E23" s="10" t="s">
        <v>3</v>
      </c>
      <c r="F23" s="11"/>
      <c r="G23" s="11"/>
      <c r="H23" s="12"/>
    </row>
    <row r="24" spans="2:9" x14ac:dyDescent="0.25">
      <c r="B24" s="13">
        <v>0</v>
      </c>
      <c r="C24" s="34">
        <v>8</v>
      </c>
      <c r="D24" s="34">
        <v>1.2569999999999999</v>
      </c>
      <c r="E24" s="36">
        <f t="shared" ref="E24:E30" si="2">C24*4.448</f>
        <v>35.584000000000003</v>
      </c>
      <c r="F24" s="11"/>
      <c r="G24" s="11"/>
      <c r="H24" s="12"/>
    </row>
    <row r="25" spans="2:9" x14ac:dyDescent="0.25">
      <c r="B25" s="15"/>
      <c r="C25" s="34">
        <v>330</v>
      </c>
      <c r="D25" s="34">
        <v>1.3779999999999999</v>
      </c>
      <c r="E25" s="36">
        <f t="shared" si="2"/>
        <v>1467.8400000000001</v>
      </c>
      <c r="F25" s="11"/>
      <c r="G25" s="11"/>
      <c r="H25" s="12"/>
    </row>
    <row r="26" spans="2:9" x14ac:dyDescent="0.25">
      <c r="B26" s="15"/>
      <c r="C26" s="34">
        <v>620</v>
      </c>
      <c r="D26" s="34">
        <v>1.518</v>
      </c>
      <c r="E26" s="36">
        <f t="shared" si="2"/>
        <v>2757.76</v>
      </c>
      <c r="F26" s="11"/>
      <c r="G26" s="11"/>
      <c r="H26" s="12"/>
    </row>
    <row r="27" spans="2:9" x14ac:dyDescent="0.25">
      <c r="B27" s="15"/>
      <c r="C27" s="34">
        <v>940</v>
      </c>
      <c r="D27" s="34">
        <v>1.673</v>
      </c>
      <c r="E27" s="36">
        <f t="shared" si="2"/>
        <v>4181.1200000000008</v>
      </c>
      <c r="F27" s="11"/>
      <c r="G27" s="11"/>
      <c r="H27" s="12"/>
    </row>
    <row r="28" spans="2:9" x14ac:dyDescent="0.25">
      <c r="B28" s="15"/>
      <c r="C28" s="34">
        <v>1200</v>
      </c>
      <c r="D28" s="34">
        <v>1.794</v>
      </c>
      <c r="E28" s="36">
        <f t="shared" si="2"/>
        <v>5337.6</v>
      </c>
      <c r="F28" s="11"/>
      <c r="G28" s="11"/>
      <c r="H28" s="12"/>
    </row>
    <row r="29" spans="2:9" x14ac:dyDescent="0.25">
      <c r="B29" s="15"/>
      <c r="C29" s="34">
        <v>1500</v>
      </c>
      <c r="D29" s="34">
        <v>1.9370000000000001</v>
      </c>
      <c r="E29" s="36">
        <f t="shared" si="2"/>
        <v>6672.0000000000009</v>
      </c>
      <c r="F29" s="11"/>
      <c r="G29" s="10" t="s">
        <v>19</v>
      </c>
      <c r="H29" s="16" t="s">
        <v>20</v>
      </c>
      <c r="I29" s="1"/>
    </row>
    <row r="30" spans="2:9" x14ac:dyDescent="0.25">
      <c r="B30" s="20"/>
      <c r="C30" s="37">
        <v>1800</v>
      </c>
      <c r="D30" s="37">
        <v>2.077</v>
      </c>
      <c r="E30" s="38">
        <f t="shared" si="2"/>
        <v>8006.4000000000005</v>
      </c>
      <c r="F30" s="21"/>
      <c r="G30" s="39" cm="1">
        <f t="array" ref="G30:H30">LINEST(E27:E30,D27:D30,1,0)</f>
        <v>9453.1688836550256</v>
      </c>
      <c r="H30" s="40">
        <v>-11630.50910465581</v>
      </c>
      <c r="I30" s="2"/>
    </row>
    <row r="33" spans="6:10" x14ac:dyDescent="0.25">
      <c r="F33" s="41" t="s">
        <v>22</v>
      </c>
      <c r="G33" s="42">
        <f>(G10+G20+G30)/3</f>
        <v>9420.7137144431781</v>
      </c>
      <c r="H33" s="42">
        <f>(H10+H20+H30)/3</f>
        <v>-11605.242265496849</v>
      </c>
      <c r="I33" s="7"/>
      <c r="J33" s="8"/>
    </row>
    <row r="34" spans="6:10" x14ac:dyDescent="0.25">
      <c r="F34" s="43" t="s">
        <v>29</v>
      </c>
      <c r="G34" s="44">
        <f>_xlfn.STDEV.P(G10,G20,G30)/AVERAGE(G10,G20,G30)</f>
        <v>2.6344248206071805E-3</v>
      </c>
      <c r="H34" s="44">
        <f>_xlfn.STDEV.P(H10,H20,H30)/AVERAGE(H10,H20,H30)</f>
        <v>-3.2541464344916205E-3</v>
      </c>
      <c r="I34" s="11"/>
      <c r="J34" s="12"/>
    </row>
    <row r="35" spans="6:10" x14ac:dyDescent="0.25">
      <c r="F35" s="15"/>
      <c r="G35" s="11"/>
      <c r="H35" s="11"/>
      <c r="I35" s="11"/>
      <c r="J35" s="12"/>
    </row>
    <row r="36" spans="6:10" x14ac:dyDescent="0.25">
      <c r="F36" s="20" t="s">
        <v>30</v>
      </c>
      <c r="G36" s="30">
        <f>G33</f>
        <v>9420.7137144431781</v>
      </c>
      <c r="H36" s="45">
        <f>G34</f>
        <v>2.6344248206071805E-3</v>
      </c>
      <c r="I36" s="30">
        <f>H33</f>
        <v>-11605.242265496849</v>
      </c>
      <c r="J36" s="46">
        <f>H34</f>
        <v>-3.2541464344916205E-3</v>
      </c>
    </row>
    <row r="73" spans="6:9" x14ac:dyDescent="0.25">
      <c r="F73" s="1"/>
      <c r="G73" s="1"/>
      <c r="H73" s="1"/>
      <c r="I73" s="1"/>
    </row>
    <row r="74" spans="6:9" x14ac:dyDescent="0.25">
      <c r="F74" s="2"/>
      <c r="G74" s="2"/>
      <c r="H74" s="2"/>
      <c r="I74" s="2"/>
    </row>
    <row r="83" spans="6:9" x14ac:dyDescent="0.25">
      <c r="F83" s="1"/>
      <c r="G83" s="1"/>
      <c r="H83" s="1"/>
      <c r="I83" s="1"/>
    </row>
    <row r="84" spans="6:9" x14ac:dyDescent="0.25">
      <c r="F84" s="2"/>
      <c r="G84" s="2"/>
      <c r="H84" s="2"/>
      <c r="I84" s="2"/>
    </row>
    <row r="93" spans="6:9" x14ac:dyDescent="0.25">
      <c r="F93" s="1" t="s">
        <v>20</v>
      </c>
      <c r="G93" s="1"/>
      <c r="H93" s="1"/>
      <c r="I93" s="1"/>
    </row>
    <row r="94" spans="6:9" x14ac:dyDescent="0.25">
      <c r="F94" s="2"/>
      <c r="G94" s="2"/>
      <c r="H94" s="2"/>
      <c r="I94" s="2"/>
    </row>
    <row r="96" spans="6:9" x14ac:dyDescent="0.25">
      <c r="F96" s="3">
        <f>F94*0.5+F84*0.5</f>
        <v>0</v>
      </c>
      <c r="G96" s="3"/>
      <c r="H96" s="3"/>
      <c r="I96" s="3"/>
    </row>
    <row r="97" spans="6:9" x14ac:dyDescent="0.25">
      <c r="F97" s="4" t="e">
        <f>F94/F84-1</f>
        <v>#DIV/0!</v>
      </c>
      <c r="G97" s="4"/>
      <c r="H97" s="4"/>
      <c r="I97" s="4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0F92-95C4-4F3D-8E64-6C8132822355}">
  <dimension ref="B1:V97"/>
  <sheetViews>
    <sheetView showGridLines="0" topLeftCell="A2" zoomScaleNormal="100" workbookViewId="0">
      <selection activeCell="G36" sqref="G36:J36"/>
    </sheetView>
  </sheetViews>
  <sheetFormatPr defaultRowHeight="15" x14ac:dyDescent="0.25"/>
  <cols>
    <col min="1" max="1" width="3.7109375" customWidth="1"/>
    <col min="2" max="2" width="15.28515625" customWidth="1"/>
    <col min="3" max="3" width="24.5703125" customWidth="1"/>
    <col min="4" max="4" width="21.7109375" customWidth="1"/>
    <col min="5" max="5" width="18.42578125" bestFit="1" customWidth="1"/>
  </cols>
  <sheetData>
    <row r="1" spans="2:22" x14ac:dyDescent="0.25">
      <c r="V1" t="s">
        <v>12</v>
      </c>
    </row>
    <row r="2" spans="2:22" x14ac:dyDescent="0.25">
      <c r="B2" s="5" t="s">
        <v>16</v>
      </c>
      <c r="C2" s="6"/>
      <c r="D2" s="7"/>
      <c r="E2" s="6"/>
      <c r="F2" s="7"/>
      <c r="G2" s="7"/>
      <c r="H2" s="8"/>
    </row>
    <row r="3" spans="2:22" x14ac:dyDescent="0.25">
      <c r="B3" s="9" t="s">
        <v>1</v>
      </c>
      <c r="C3" s="10" t="s">
        <v>2</v>
      </c>
      <c r="D3" s="10" t="s">
        <v>23</v>
      </c>
      <c r="E3" s="10" t="s">
        <v>3</v>
      </c>
      <c r="F3" s="11"/>
      <c r="G3" s="11"/>
      <c r="H3" s="12"/>
    </row>
    <row r="4" spans="2:22" x14ac:dyDescent="0.25">
      <c r="B4" s="13">
        <v>0</v>
      </c>
      <c r="C4" s="48">
        <f>0.5*C14+0.5*C24</f>
        <v>5.5</v>
      </c>
      <c r="D4" s="49">
        <f>0.5*D14+0.5*D24</f>
        <v>1.2515000000000001</v>
      </c>
      <c r="E4" s="36">
        <f t="shared" ref="E4:E10" si="0">C4*4.448</f>
        <v>24.464000000000002</v>
      </c>
      <c r="F4" s="11"/>
      <c r="G4" s="11"/>
      <c r="H4" s="12"/>
    </row>
    <row r="5" spans="2:22" x14ac:dyDescent="0.25">
      <c r="B5" s="15"/>
      <c r="C5" s="48">
        <f t="shared" ref="C5:D10" si="1">0.5*C15+0.5*C25</f>
        <v>310</v>
      </c>
      <c r="D5" s="48">
        <f t="shared" ref="D5" si="2">0.5*D15+0.5*D25</f>
        <v>1.4075</v>
      </c>
      <c r="E5" s="36">
        <f t="shared" si="0"/>
        <v>1378.88</v>
      </c>
      <c r="F5" s="11"/>
      <c r="G5" s="11"/>
      <c r="H5" s="12"/>
    </row>
    <row r="6" spans="2:22" x14ac:dyDescent="0.25">
      <c r="B6" s="15"/>
      <c r="C6" s="48">
        <f t="shared" si="1"/>
        <v>615</v>
      </c>
      <c r="D6" s="48">
        <f t="shared" ref="D6" si="3">0.5*D16+0.5*D26</f>
        <v>1.5735000000000001</v>
      </c>
      <c r="E6" s="36">
        <f t="shared" si="0"/>
        <v>2735.5200000000004</v>
      </c>
      <c r="F6" s="11"/>
      <c r="G6" s="11"/>
      <c r="H6" s="12"/>
    </row>
    <row r="7" spans="2:22" x14ac:dyDescent="0.25">
      <c r="B7" s="15"/>
      <c r="C7" s="48">
        <f t="shared" si="1"/>
        <v>975</v>
      </c>
      <c r="D7" s="48">
        <f t="shared" ref="D7" si="4">0.5*D17+0.5*D27</f>
        <v>1.7654999999999998</v>
      </c>
      <c r="E7" s="36">
        <f t="shared" si="0"/>
        <v>4336.8</v>
      </c>
      <c r="F7" s="11"/>
      <c r="G7" s="11"/>
      <c r="H7" s="12"/>
    </row>
    <row r="8" spans="2:22" x14ac:dyDescent="0.25">
      <c r="B8" s="15"/>
      <c r="C8" s="48">
        <f t="shared" si="1"/>
        <v>1265</v>
      </c>
      <c r="D8" s="48">
        <f t="shared" ref="D8" si="5">0.5*D18+0.5*D28</f>
        <v>1.92</v>
      </c>
      <c r="E8" s="36">
        <f t="shared" si="0"/>
        <v>5626.72</v>
      </c>
      <c r="F8" s="11"/>
      <c r="G8" s="11"/>
      <c r="H8" s="12"/>
    </row>
    <row r="9" spans="2:22" x14ac:dyDescent="0.25">
      <c r="B9" s="15"/>
      <c r="C9" s="48">
        <f t="shared" si="1"/>
        <v>1570</v>
      </c>
      <c r="D9" s="48">
        <f t="shared" ref="D9" si="6">0.5*D19+0.5*D29</f>
        <v>2.0830000000000002</v>
      </c>
      <c r="E9" s="36">
        <f t="shared" si="0"/>
        <v>6983.3600000000006</v>
      </c>
      <c r="F9" s="11"/>
      <c r="G9" s="10" t="s">
        <v>19</v>
      </c>
      <c r="H9" s="16" t="s">
        <v>20</v>
      </c>
      <c r="I9" s="1"/>
    </row>
    <row r="10" spans="2:22" x14ac:dyDescent="0.25">
      <c r="B10" s="20"/>
      <c r="C10" s="50">
        <f t="shared" si="1"/>
        <v>1870</v>
      </c>
      <c r="D10" s="50">
        <f t="shared" ref="D10" si="7">0.5*D20+0.5*D30</f>
        <v>2.242</v>
      </c>
      <c r="E10" s="38">
        <f t="shared" si="0"/>
        <v>8317.76</v>
      </c>
      <c r="F10" s="21"/>
      <c r="G10" s="39" cm="1">
        <f t="array" ref="G10:H10">LINEST(E7:E10,D7:D10,1,0)</f>
        <v>8351.3320857878844</v>
      </c>
      <c r="H10" s="40">
        <v>-10408.426418300962</v>
      </c>
      <c r="I10" s="2"/>
    </row>
    <row r="12" spans="2:22" x14ac:dyDescent="0.25">
      <c r="B12" s="5" t="s">
        <v>17</v>
      </c>
      <c r="C12" s="6"/>
      <c r="D12" s="7"/>
      <c r="E12" s="6"/>
      <c r="F12" s="7"/>
      <c r="G12" s="7"/>
      <c r="H12" s="8"/>
    </row>
    <row r="13" spans="2:22" x14ac:dyDescent="0.25">
      <c r="B13" s="9" t="s">
        <v>1</v>
      </c>
      <c r="C13" s="10" t="s">
        <v>2</v>
      </c>
      <c r="D13" s="10" t="s">
        <v>23</v>
      </c>
      <c r="E13" s="10" t="s">
        <v>3</v>
      </c>
      <c r="F13" s="11"/>
      <c r="G13" s="11"/>
      <c r="H13" s="12"/>
    </row>
    <row r="14" spans="2:22" x14ac:dyDescent="0.25">
      <c r="B14" s="13">
        <v>0</v>
      </c>
      <c r="C14" s="34">
        <v>5</v>
      </c>
      <c r="D14" s="34">
        <v>1.2529999999999999</v>
      </c>
      <c r="E14" s="36">
        <f t="shared" ref="E14:E20" si="8">C14*4.448</f>
        <v>22.240000000000002</v>
      </c>
      <c r="F14" s="11"/>
      <c r="G14" s="11"/>
      <c r="H14" s="12"/>
    </row>
    <row r="15" spans="2:22" x14ac:dyDescent="0.25">
      <c r="B15" s="15"/>
      <c r="C15" s="34">
        <v>320</v>
      </c>
      <c r="D15" s="34">
        <v>1.415</v>
      </c>
      <c r="E15" s="36">
        <f t="shared" si="8"/>
        <v>1423.3600000000001</v>
      </c>
      <c r="F15" s="11"/>
      <c r="G15" s="11"/>
      <c r="H15" s="12"/>
    </row>
    <row r="16" spans="2:22" x14ac:dyDescent="0.25">
      <c r="B16" s="15"/>
      <c r="C16" s="34">
        <v>630</v>
      </c>
      <c r="D16" s="34">
        <v>1.5840000000000001</v>
      </c>
      <c r="E16" s="36">
        <f t="shared" si="8"/>
        <v>2802.2400000000002</v>
      </c>
      <c r="F16" s="11"/>
      <c r="G16" s="11"/>
      <c r="H16" s="12"/>
    </row>
    <row r="17" spans="2:9" x14ac:dyDescent="0.25">
      <c r="B17" s="15"/>
      <c r="C17" s="34">
        <v>970</v>
      </c>
      <c r="D17" s="34">
        <v>1.7649999999999999</v>
      </c>
      <c r="E17" s="36">
        <f t="shared" si="8"/>
        <v>4314.5600000000004</v>
      </c>
      <c r="F17" s="11"/>
      <c r="G17" s="11"/>
      <c r="H17" s="12"/>
    </row>
    <row r="18" spans="2:9" x14ac:dyDescent="0.25">
      <c r="B18" s="15"/>
      <c r="C18" s="34">
        <v>1240</v>
      </c>
      <c r="D18" s="34">
        <v>1.909</v>
      </c>
      <c r="E18" s="36">
        <f t="shared" si="8"/>
        <v>5515.52</v>
      </c>
      <c r="F18" s="11"/>
      <c r="G18" s="11"/>
      <c r="H18" s="12"/>
    </row>
    <row r="19" spans="2:9" x14ac:dyDescent="0.25">
      <c r="B19" s="15"/>
      <c r="C19" s="34">
        <v>1570</v>
      </c>
      <c r="D19" s="34">
        <v>2.0859999999999999</v>
      </c>
      <c r="E19" s="36">
        <f t="shared" si="8"/>
        <v>6983.3600000000006</v>
      </c>
      <c r="F19" s="11"/>
      <c r="G19" s="10" t="s">
        <v>19</v>
      </c>
      <c r="H19" s="16" t="s">
        <v>20</v>
      </c>
      <c r="I19" s="1"/>
    </row>
    <row r="20" spans="2:9" x14ac:dyDescent="0.25">
      <c r="B20" s="20"/>
      <c r="C20" s="37">
        <v>1830</v>
      </c>
      <c r="D20" s="37">
        <v>2.2240000000000002</v>
      </c>
      <c r="E20" s="38">
        <f t="shared" si="8"/>
        <v>8139.8400000000011</v>
      </c>
      <c r="F20" s="21"/>
      <c r="G20" s="39" cm="1">
        <f t="array" ref="G20:H20">LINEST(E17:E20,D17:D20,1,0)</f>
        <v>8328.5596707818913</v>
      </c>
      <c r="H20" s="40">
        <v>-10385.485102880655</v>
      </c>
      <c r="I20" s="2"/>
    </row>
    <row r="22" spans="2:9" x14ac:dyDescent="0.25">
      <c r="B22" s="5" t="s">
        <v>18</v>
      </c>
      <c r="C22" s="6"/>
      <c r="D22" s="7"/>
      <c r="E22" s="6"/>
      <c r="F22" s="7"/>
      <c r="G22" s="7"/>
      <c r="H22" s="8"/>
    </row>
    <row r="23" spans="2:9" x14ac:dyDescent="0.25">
      <c r="B23" s="9" t="s">
        <v>1</v>
      </c>
      <c r="C23" s="10" t="s">
        <v>2</v>
      </c>
      <c r="D23" s="10" t="s">
        <v>23</v>
      </c>
      <c r="E23" s="10" t="s">
        <v>3</v>
      </c>
      <c r="F23" s="11"/>
      <c r="G23" s="11"/>
      <c r="H23" s="12"/>
    </row>
    <row r="24" spans="2:9" x14ac:dyDescent="0.25">
      <c r="B24" s="13">
        <v>0</v>
      </c>
      <c r="C24" s="34">
        <v>6</v>
      </c>
      <c r="D24" s="34">
        <v>1.25</v>
      </c>
      <c r="E24" s="36">
        <f t="shared" ref="E24:E30" si="9">C24*4.448</f>
        <v>26.688000000000002</v>
      </c>
      <c r="F24" s="11"/>
      <c r="G24" s="11"/>
      <c r="H24" s="12"/>
    </row>
    <row r="25" spans="2:9" x14ac:dyDescent="0.25">
      <c r="B25" s="15"/>
      <c r="C25" s="34">
        <v>300</v>
      </c>
      <c r="D25" s="34">
        <v>1.4</v>
      </c>
      <c r="E25" s="36">
        <f t="shared" si="9"/>
        <v>1334.4</v>
      </c>
      <c r="F25" s="11"/>
      <c r="G25" s="11"/>
      <c r="H25" s="12"/>
    </row>
    <row r="26" spans="2:9" x14ac:dyDescent="0.25">
      <c r="B26" s="15"/>
      <c r="C26" s="34">
        <v>600</v>
      </c>
      <c r="D26" s="34">
        <v>1.5629999999999999</v>
      </c>
      <c r="E26" s="36">
        <f t="shared" si="9"/>
        <v>2668.8</v>
      </c>
      <c r="F26" s="11"/>
      <c r="G26" s="11"/>
      <c r="H26" s="12"/>
    </row>
    <row r="27" spans="2:9" x14ac:dyDescent="0.25">
      <c r="B27" s="15"/>
      <c r="C27" s="34">
        <v>980</v>
      </c>
      <c r="D27" s="34">
        <v>1.766</v>
      </c>
      <c r="E27" s="36">
        <f t="shared" si="9"/>
        <v>4359.04</v>
      </c>
      <c r="F27" s="11"/>
      <c r="G27" s="11"/>
      <c r="H27" s="12"/>
    </row>
    <row r="28" spans="2:9" x14ac:dyDescent="0.25">
      <c r="B28" s="15"/>
      <c r="C28" s="34">
        <v>1290</v>
      </c>
      <c r="D28" s="34">
        <v>1.931</v>
      </c>
      <c r="E28" s="36">
        <f t="shared" si="9"/>
        <v>5737.92</v>
      </c>
      <c r="F28" s="11"/>
      <c r="G28" s="11"/>
      <c r="H28" s="12"/>
    </row>
    <row r="29" spans="2:9" x14ac:dyDescent="0.25">
      <c r="B29" s="15"/>
      <c r="C29" s="34">
        <v>1570</v>
      </c>
      <c r="D29" s="34">
        <v>2.08</v>
      </c>
      <c r="E29" s="36">
        <f t="shared" si="9"/>
        <v>6983.3600000000006</v>
      </c>
      <c r="F29" s="11"/>
      <c r="G29" s="10" t="s">
        <v>19</v>
      </c>
      <c r="H29" s="16" t="s">
        <v>20</v>
      </c>
      <c r="I29" s="1"/>
    </row>
    <row r="30" spans="2:9" x14ac:dyDescent="0.25">
      <c r="B30" s="20"/>
      <c r="C30" s="37">
        <v>1910</v>
      </c>
      <c r="D30" s="37">
        <v>2.2599999999999998</v>
      </c>
      <c r="E30" s="38">
        <f t="shared" si="9"/>
        <v>8495.68</v>
      </c>
      <c r="F30" s="21"/>
      <c r="G30" s="39" cm="1">
        <f t="array" ref="G30:H30">LINEST(E27:E30,D27:D30,1,0)</f>
        <v>8372.7265115947303</v>
      </c>
      <c r="H30" s="40">
        <v>-10428.900743421709</v>
      </c>
      <c r="I30" s="2"/>
    </row>
    <row r="32" spans="2:9" x14ac:dyDescent="0.25">
      <c r="B32">
        <v>5</v>
      </c>
      <c r="C32">
        <v>1.252</v>
      </c>
    </row>
    <row r="33" spans="2:10" x14ac:dyDescent="0.25">
      <c r="B33">
        <v>380</v>
      </c>
      <c r="C33">
        <v>1.4490000000000001</v>
      </c>
      <c r="F33" s="41" t="s">
        <v>22</v>
      </c>
      <c r="G33" s="42">
        <f>(G10+G20+G30)/3</f>
        <v>8350.8727560548359</v>
      </c>
      <c r="H33" s="42">
        <f>(H10+H20+H30)/3</f>
        <v>-10407.604088201109</v>
      </c>
      <c r="I33" s="7"/>
      <c r="J33" s="8"/>
    </row>
    <row r="34" spans="2:10" x14ac:dyDescent="0.25">
      <c r="B34">
        <v>690</v>
      </c>
      <c r="C34">
        <v>1.633</v>
      </c>
      <c r="F34" s="43" t="s">
        <v>29</v>
      </c>
      <c r="G34" s="44">
        <f>_xlfn.STDEV.P(G10,G20,G30)/AVERAGE(G10,G20,G30)</f>
        <v>2.159530247094036E-3</v>
      </c>
      <c r="H34" s="44">
        <f>_xlfn.STDEV.P(H10,H20,H30)/AVERAGE(H10,H20,H30)</f>
        <v>-1.7039365077019021E-3</v>
      </c>
      <c r="I34" s="11"/>
      <c r="J34" s="12"/>
    </row>
    <row r="35" spans="2:10" x14ac:dyDescent="0.25">
      <c r="B35">
        <v>950</v>
      </c>
      <c r="C35">
        <v>1.79</v>
      </c>
      <c r="F35" s="15"/>
      <c r="G35" s="11"/>
      <c r="H35" s="11"/>
      <c r="I35" s="11"/>
      <c r="J35" s="12"/>
    </row>
    <row r="36" spans="2:10" x14ac:dyDescent="0.25">
      <c r="B36">
        <v>1200</v>
      </c>
      <c r="C36">
        <v>1.9419999999999999</v>
      </c>
      <c r="F36" s="20" t="s">
        <v>30</v>
      </c>
      <c r="G36" s="30">
        <f>G33</f>
        <v>8350.8727560548359</v>
      </c>
      <c r="H36" s="45">
        <f>G34</f>
        <v>2.159530247094036E-3</v>
      </c>
      <c r="I36" s="30">
        <f>H33</f>
        <v>-10407.604088201109</v>
      </c>
      <c r="J36" s="46">
        <f>H34</f>
        <v>-1.7039365077019021E-3</v>
      </c>
    </row>
    <row r="37" spans="2:10" x14ac:dyDescent="0.25">
      <c r="B37">
        <v>1570</v>
      </c>
      <c r="C37">
        <v>2.17</v>
      </c>
    </row>
    <row r="38" spans="2:10" x14ac:dyDescent="0.25">
      <c r="B38">
        <v>1860</v>
      </c>
      <c r="C38">
        <v>2.3479999999999999</v>
      </c>
    </row>
    <row r="41" spans="2:10" x14ac:dyDescent="0.25">
      <c r="B41">
        <v>5</v>
      </c>
      <c r="C41">
        <v>1.2529999999999999</v>
      </c>
    </row>
    <row r="42" spans="2:10" x14ac:dyDescent="0.25">
      <c r="B42">
        <v>320</v>
      </c>
      <c r="C42">
        <v>1.415</v>
      </c>
    </row>
    <row r="43" spans="2:10" x14ac:dyDescent="0.25">
      <c r="B43">
        <v>630</v>
      </c>
      <c r="C43">
        <v>1.5840000000000001</v>
      </c>
    </row>
    <row r="44" spans="2:10" x14ac:dyDescent="0.25">
      <c r="B44">
        <v>970</v>
      </c>
      <c r="C44">
        <v>1.7649999999999999</v>
      </c>
    </row>
    <row r="45" spans="2:10" x14ac:dyDescent="0.25">
      <c r="B45">
        <v>1240</v>
      </c>
      <c r="C45">
        <v>1.909</v>
      </c>
    </row>
    <row r="46" spans="2:10" x14ac:dyDescent="0.25">
      <c r="B46">
        <v>1570</v>
      </c>
      <c r="C46">
        <v>2.0859999999999999</v>
      </c>
    </row>
    <row r="47" spans="2:10" x14ac:dyDescent="0.25">
      <c r="B47">
        <v>1830</v>
      </c>
      <c r="C47">
        <v>2.2240000000000002</v>
      </c>
    </row>
    <row r="73" spans="6:9" x14ac:dyDescent="0.25">
      <c r="F73" s="1"/>
      <c r="G73" s="1"/>
      <c r="H73" s="1"/>
      <c r="I73" s="1"/>
    </row>
    <row r="74" spans="6:9" x14ac:dyDescent="0.25">
      <c r="F74" s="2"/>
      <c r="G74" s="2"/>
      <c r="H74" s="2"/>
      <c r="I74" s="2"/>
    </row>
    <row r="83" spans="6:9" x14ac:dyDescent="0.25">
      <c r="F83" s="1"/>
      <c r="G83" s="1"/>
      <c r="H83" s="1"/>
      <c r="I83" s="1"/>
    </row>
    <row r="84" spans="6:9" x14ac:dyDescent="0.25">
      <c r="F84" s="2"/>
      <c r="G84" s="2"/>
      <c r="H84" s="2"/>
      <c r="I84" s="2"/>
    </row>
    <row r="93" spans="6:9" x14ac:dyDescent="0.25">
      <c r="F93" s="1" t="s">
        <v>20</v>
      </c>
      <c r="G93" s="1"/>
      <c r="H93" s="1"/>
      <c r="I93" s="1"/>
    </row>
    <row r="94" spans="6:9" x14ac:dyDescent="0.25">
      <c r="F94" s="2"/>
      <c r="G94" s="2"/>
      <c r="H94" s="2"/>
      <c r="I94" s="2"/>
    </row>
    <row r="96" spans="6:9" x14ac:dyDescent="0.25">
      <c r="F96" s="3">
        <f>F94*0.5+F84*0.5</f>
        <v>0</v>
      </c>
      <c r="G96" s="3"/>
      <c r="H96" s="3"/>
      <c r="I96" s="3"/>
    </row>
    <row r="97" spans="6:9" x14ac:dyDescent="0.25">
      <c r="F97" s="4" t="e">
        <f>F94/F84-1</f>
        <v>#DIV/0!</v>
      </c>
      <c r="G97" s="4"/>
      <c r="H97" s="4"/>
      <c r="I97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435</vt:lpstr>
      <vt:lpstr>1</vt:lpstr>
      <vt:lpstr>874</vt:lpstr>
      <vt:lpstr>2_Riparata</vt:lpstr>
      <vt:lpstr>2_RiparataV2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Matteo.Paganini</cp:lastModifiedBy>
  <dcterms:created xsi:type="dcterms:W3CDTF">2021-09-10T10:32:10Z</dcterms:created>
  <dcterms:modified xsi:type="dcterms:W3CDTF">2021-10-11T11:51:00Z</dcterms:modified>
</cp:coreProperties>
</file>