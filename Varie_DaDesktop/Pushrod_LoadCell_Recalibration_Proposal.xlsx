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\\pe.local\shares\P074\Race Engineering\_EVENTS\21T04 Vallelunga\REPORTS\"/>
    </mc:Choice>
  </mc:AlternateContent>
  <xr:revisionPtr revIDLastSave="0" documentId="13_ncr:1_{0F8F2E5C-EE74-4894-9953-B31B16599FD1}" xr6:coauthVersionLast="46" xr6:coauthVersionMax="46" xr10:uidLastSave="{00000000-0000-0000-0000-000000000000}"/>
  <bookViews>
    <workbookView xWindow="-33225" yWindow="2640" windowWidth="28800" windowHeight="11385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" i="2" l="1"/>
  <c r="Q11" i="2"/>
  <c r="K19" i="2"/>
  <c r="N18" i="2"/>
  <c r="M18" i="2"/>
  <c r="K18" i="2"/>
  <c r="L18" i="2"/>
  <c r="Q10" i="2"/>
  <c r="K14" i="2"/>
  <c r="L14" i="2"/>
  <c r="N14" i="2"/>
  <c r="M14" i="2"/>
  <c r="L13" i="2"/>
  <c r="M13" i="2"/>
  <c r="N13" i="2"/>
  <c r="K13" i="2"/>
  <c r="K5" i="2"/>
  <c r="L5" i="2"/>
  <c r="M5" i="2"/>
  <c r="N5" i="2"/>
  <c r="K6" i="2"/>
  <c r="L6" i="2"/>
  <c r="M6" i="2"/>
  <c r="N6" i="2"/>
  <c r="K7" i="2"/>
  <c r="L7" i="2"/>
  <c r="M7" i="2"/>
  <c r="N7" i="2"/>
  <c r="K8" i="2"/>
  <c r="L8" i="2"/>
  <c r="M8" i="2"/>
  <c r="N8" i="2"/>
  <c r="K9" i="2"/>
  <c r="L9" i="2"/>
  <c r="M9" i="2"/>
  <c r="N9" i="2"/>
  <c r="K10" i="2"/>
  <c r="L10" i="2"/>
  <c r="M10" i="2"/>
  <c r="N10" i="2"/>
  <c r="K11" i="2"/>
  <c r="L11" i="2"/>
  <c r="M11" i="2"/>
  <c r="N11" i="2"/>
  <c r="N4" i="2"/>
  <c r="M4" i="2"/>
  <c r="L4" i="2"/>
  <c r="K4" i="2"/>
  <c r="C31" i="2"/>
  <c r="C30" i="2"/>
  <c r="D31" i="2" s="1"/>
  <c r="C28" i="2"/>
  <c r="C27" i="2"/>
  <c r="C24" i="2" a="1"/>
  <c r="C24" i="2" s="1"/>
  <c r="C23" i="2" a="1"/>
  <c r="H23" i="2" s="1"/>
  <c r="C22" i="2" a="1"/>
  <c r="C22" i="2" s="1"/>
  <c r="C21" i="2" a="1"/>
  <c r="C21" i="2" s="1"/>
  <c r="Q8" i="2"/>
  <c r="Q7" i="2"/>
  <c r="K5" i="1"/>
  <c r="K4" i="1"/>
  <c r="D28" i="2" l="1"/>
  <c r="G21" i="2"/>
  <c r="H21" i="2"/>
  <c r="C23" i="2"/>
  <c r="G23" i="2" s="1"/>
  <c r="K6" i="1" l="1"/>
  <c r="K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<sst xmlns="http://schemas.openxmlformats.org/spreadsheetml/2006/main" count="44" uniqueCount="29">
  <si>
    <t>First run day 2, starting from setup scales:</t>
  </si>
  <si>
    <t>SETUP Scales [kg]</t>
  </si>
  <si>
    <t>Tot Weight</t>
  </si>
  <si>
    <t>SETUP</t>
  </si>
  <si>
    <t>WD</t>
  </si>
  <si>
    <t>Front W</t>
  </si>
  <si>
    <t>Rear W</t>
  </si>
  <si>
    <t>Scales</t>
  </si>
  <si>
    <t>Loadcells</t>
  </si>
  <si>
    <t>#</t>
  </si>
  <si>
    <t>FL</t>
  </si>
  <si>
    <t>FR</t>
  </si>
  <si>
    <t>RL</t>
  </si>
  <si>
    <t>RR</t>
  </si>
  <si>
    <t>Track +3mm per side front and rear</t>
  </si>
  <si>
    <t>Full fuel tank</t>
  </si>
  <si>
    <t>Slow airjack air release</t>
  </si>
  <si>
    <t>Tot weight</t>
  </si>
  <si>
    <t>kg</t>
  </si>
  <si>
    <t>*pc was leaning on the car, no driver</t>
  </si>
  <si>
    <t>Weight dis</t>
  </si>
  <si>
    <t>Fit Ground [N] / Pushrod [N]</t>
  </si>
  <si>
    <t>Average axle</t>
  </si>
  <si>
    <t>m</t>
  </si>
  <si>
    <t>q</t>
  </si>
  <si>
    <t>N</t>
  </si>
  <si>
    <r>
      <t xml:space="preserve">Delta Loadcells wrt scales at Ground </t>
    </r>
    <r>
      <rPr>
        <b/>
        <sz val="11"/>
        <color theme="1"/>
        <rFont val="Calibri"/>
        <family val="2"/>
        <scheme val="minor"/>
      </rPr>
      <t>[N]</t>
    </r>
  </si>
  <si>
    <t>WD_from_Loadcells</t>
  </si>
  <si>
    <t>WD_from_LoadCells cleaned UnsprMass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</si>
</sst>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"/>
    <numFmt numFmtId="168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0" fontId="0" fillId="0" borderId="0" xfId="1" applyNumberFormat="1" applyFont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14" fontId="0" fillId="0" borderId="0" xfId="0" applyNumberFormat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165" fontId="0" fillId="0" borderId="0" xfId="0" applyNumberFormat="1"/>
    <xf numFmtId="1" fontId="0" fillId="0" borderId="0" xfId="0" applyNumberFormat="1"/>
    <xf numFmtId="0" fontId="0" fillId="2" borderId="0" xfId="0" applyFill="1" applyBorder="1"/>
    <xf numFmtId="0" fontId="0" fillId="0" borderId="0" xfId="0" applyBorder="1"/>
    <xf numFmtId="0" fontId="0" fillId="0" borderId="0" xfId="0" applyFill="1" applyBorder="1"/>
    <xf numFmtId="166" fontId="0" fillId="0" borderId="0" xfId="0" applyNumberFormat="1"/>
    <xf numFmtId="168" fontId="0" fillId="0" borderId="0" xfId="0" applyNumberFormat="1"/>
    <xf numFmtId="166" fontId="2" fillId="3" borderId="0" xfId="0" applyNumberFormat="1" applyFont="1" applyFill="1" applyBorder="1" applyAlignment="1">
      <alignment horizontal="center"/>
    </xf>
    <xf numFmtId="168" fontId="0" fillId="0" borderId="7" xfId="0" applyNumberFormat="1" applyBorder="1"/>
    <xf numFmtId="166" fontId="0" fillId="0" borderId="7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[1]LoadCell!$C$4:$C$13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[1]LoadCell!$G$4:$G$13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AA-43CD-8D00-9503032916D5}"/>
            </c:ext>
          </c:extLst>
        </c:ser>
        <c:ser>
          <c:idx val="1"/>
          <c:order val="1"/>
          <c:tx>
            <c:strRef>
              <c:f>[1]LoadCell!$D$3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[1]LoadCell!$D$4:$D$13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[1]LoadCell!$H$4:$H$13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AA-43CD-8D00-9503032916D5}"/>
            </c:ext>
          </c:extLst>
        </c:ser>
        <c:ser>
          <c:idx val="2"/>
          <c:order val="2"/>
          <c:tx>
            <c:strRef>
              <c:f>[1]LoadCell!$E$3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[1]LoadCell!$E$4:$E$13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[1]LoadCell!$I$4:$I$13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AA-43CD-8D00-9503032916D5}"/>
            </c:ext>
          </c:extLst>
        </c:ser>
        <c:ser>
          <c:idx val="3"/>
          <c:order val="3"/>
          <c:tx>
            <c:strRef>
              <c:f>[1]LoadCell!$F$3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[1]LoadCell!$F$4:$F$13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[1]LoadCell!$J$4:$J$13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DAA-43CD-8D00-950303291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27649</xdr:colOff>
      <xdr:row>11</xdr:row>
      <xdr:rowOff>24128</xdr:rowOff>
    </xdr:from>
    <xdr:to>
      <xdr:col>27</xdr:col>
      <xdr:colOff>127383</xdr:colOff>
      <xdr:row>31</xdr:row>
      <xdr:rowOff>112545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E2B898-B2D4-422D-8A23-A5980BC2D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074/Race%20Engineering/00%20Car%20Setup/0004_2021-03-26_21T04-Vallelunga-SetUp_endDay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dCell"/>
      <sheetName val="TC_DRY"/>
      <sheetName val="TC_WET"/>
      <sheetName val="Thermax"/>
      <sheetName val="_todo"/>
      <sheetName val="SETUP-SHEET_After21T03"/>
      <sheetName val="SETUP-SHEET for 21T04"/>
      <sheetName val="Setup_Log"/>
      <sheetName val="01_Aerodynamics"/>
      <sheetName val="02_3rd elements"/>
      <sheetName val="03_Anti-Roll Bars"/>
      <sheetName val="04_Springs"/>
      <sheetName val="05_Bump-stops"/>
      <sheetName val="06_Dampers"/>
      <sheetName val="07_Brakes"/>
      <sheetName val="08_Gearbox"/>
      <sheetName val="09_Differential"/>
      <sheetName val="10_Engine"/>
      <sheetName val="11_Traction Control"/>
      <sheetName val="12_Kinematics"/>
      <sheetName val="13_Ballast"/>
      <sheetName val="14_Bodywork"/>
      <sheetName val="_calculations"/>
      <sheetName val="_constants"/>
      <sheetName val="08b_Gearbox_Long-Proposal"/>
    </sheetNames>
    <sheetDataSet>
      <sheetData sheetId="0">
        <row r="3">
          <cell r="C3" t="str">
            <v>FL</v>
          </cell>
          <cell r="D3" t="str">
            <v>FR</v>
          </cell>
          <cell r="E3" t="str">
            <v>RL</v>
          </cell>
          <cell r="F3" t="str">
            <v>RR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-730</v>
          </cell>
          <cell r="H4">
            <v>-795</v>
          </cell>
          <cell r="I4">
            <v>-1430</v>
          </cell>
          <cell r="J4">
            <v>-1300</v>
          </cell>
        </row>
        <row r="5">
          <cell r="C5">
            <v>53</v>
          </cell>
          <cell r="D5">
            <v>85</v>
          </cell>
          <cell r="E5">
            <v>79</v>
          </cell>
          <cell r="F5">
            <v>51.5</v>
          </cell>
          <cell r="G5">
            <v>20</v>
          </cell>
          <cell r="H5">
            <v>280</v>
          </cell>
          <cell r="I5">
            <v>240</v>
          </cell>
          <cell r="J5">
            <v>-130</v>
          </cell>
        </row>
        <row r="6">
          <cell r="C6">
            <v>79.5</v>
          </cell>
          <cell r="D6">
            <v>119</v>
          </cell>
          <cell r="E6">
            <v>116</v>
          </cell>
          <cell r="F6">
            <v>79</v>
          </cell>
          <cell r="G6">
            <v>200</v>
          </cell>
          <cell r="H6">
            <v>760</v>
          </cell>
          <cell r="I6">
            <v>1010</v>
          </cell>
          <cell r="J6">
            <v>330</v>
          </cell>
        </row>
        <row r="7">
          <cell r="C7">
            <v>107</v>
          </cell>
          <cell r="D7">
            <v>153.5</v>
          </cell>
          <cell r="E7">
            <v>161</v>
          </cell>
          <cell r="F7">
            <v>116</v>
          </cell>
          <cell r="G7">
            <v>630</v>
          </cell>
          <cell r="H7">
            <v>1295</v>
          </cell>
          <cell r="I7">
            <v>2000</v>
          </cell>
          <cell r="J7">
            <v>1240</v>
          </cell>
        </row>
        <row r="8">
          <cell r="C8">
            <v>138</v>
          </cell>
          <cell r="D8">
            <v>186.5</v>
          </cell>
          <cell r="E8">
            <v>199</v>
          </cell>
          <cell r="F8">
            <v>156</v>
          </cell>
          <cell r="G8">
            <v>1070</v>
          </cell>
          <cell r="H8">
            <v>1760</v>
          </cell>
          <cell r="I8">
            <v>2870</v>
          </cell>
          <cell r="J8">
            <v>2110</v>
          </cell>
        </row>
        <row r="9">
          <cell r="C9">
            <v>164</v>
          </cell>
          <cell r="D9">
            <v>214.5</v>
          </cell>
          <cell r="E9">
            <v>233.5</v>
          </cell>
          <cell r="F9">
            <v>190</v>
          </cell>
          <cell r="G9">
            <v>1460</v>
          </cell>
          <cell r="H9">
            <v>2160</v>
          </cell>
          <cell r="I9">
            <v>3640</v>
          </cell>
          <cell r="J9">
            <v>2870</v>
          </cell>
        </row>
        <row r="10">
          <cell r="C10">
            <v>203</v>
          </cell>
          <cell r="D10">
            <v>256</v>
          </cell>
          <cell r="E10">
            <v>285.5</v>
          </cell>
          <cell r="F10">
            <v>242</v>
          </cell>
          <cell r="G10">
            <v>2030</v>
          </cell>
          <cell r="H10">
            <v>2750</v>
          </cell>
          <cell r="I10">
            <v>4800</v>
          </cell>
          <cell r="J10">
            <v>4050</v>
          </cell>
        </row>
        <row r="11">
          <cell r="C11">
            <v>228</v>
          </cell>
          <cell r="D11">
            <v>279</v>
          </cell>
          <cell r="E11">
            <v>347.5</v>
          </cell>
          <cell r="F11">
            <v>304</v>
          </cell>
          <cell r="G11">
            <v>2400</v>
          </cell>
          <cell r="H11">
            <v>3085</v>
          </cell>
          <cell r="I11">
            <v>6320</v>
          </cell>
          <cell r="J11">
            <v>5480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6"/>
  <sheetViews>
    <sheetView workbookViewId="0">
      <selection activeCell="B8" sqref="B8"/>
    </sheetView>
  </sheetViews>
  <sheetFormatPr defaultRowHeight="15" x14ac:dyDescent="0.25"/>
  <cols>
    <col min="1" max="1" width="3.7109375" customWidth="1"/>
    <col min="10" max="10" width="10.7109375" bestFit="1" customWidth="1"/>
  </cols>
  <sheetData>
    <row r="2" spans="2:11" x14ac:dyDescent="0.25">
      <c r="B2" t="s">
        <v>0</v>
      </c>
      <c r="G2" t="s">
        <v>1</v>
      </c>
      <c r="J2" t="s">
        <v>3</v>
      </c>
    </row>
    <row r="3" spans="2:11" x14ac:dyDescent="0.25">
      <c r="G3">
        <v>232.8</v>
      </c>
      <c r="H3">
        <v>222</v>
      </c>
      <c r="J3" t="s">
        <v>2</v>
      </c>
      <c r="K3">
        <f>G3+H3+G4+H4</f>
        <v>1047.4000000000001</v>
      </c>
    </row>
    <row r="4" spans="2:11" x14ac:dyDescent="0.25">
      <c r="G4">
        <v>289</v>
      </c>
      <c r="H4">
        <v>303.60000000000002</v>
      </c>
      <c r="J4" t="s">
        <v>5</v>
      </c>
      <c r="K4">
        <f>G3+H3</f>
        <v>454.8</v>
      </c>
    </row>
    <row r="5" spans="2:11" x14ac:dyDescent="0.25">
      <c r="J5" t="s">
        <v>6</v>
      </c>
      <c r="K5">
        <f>G4+H4</f>
        <v>592.6</v>
      </c>
    </row>
    <row r="6" spans="2:11" x14ac:dyDescent="0.25">
      <c r="J6" s="1" t="s">
        <v>4</v>
      </c>
      <c r="K6" s="3">
        <f>(G3+H3)/K3</f>
        <v>0.43421806377697153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BE51A-B273-48B2-B76D-B3A9043424A8}">
  <dimension ref="B2:S31"/>
  <sheetViews>
    <sheetView tabSelected="1" zoomScale="85" zoomScaleNormal="85" workbookViewId="0">
      <selection activeCell="N18" sqref="N18"/>
    </sheetView>
  </sheetViews>
  <sheetFormatPr defaultRowHeight="15" x14ac:dyDescent="0.25"/>
  <cols>
    <col min="1" max="1" width="3.7109375" customWidth="1"/>
    <col min="2" max="2" width="4" style="1" customWidth="1"/>
    <col min="3" max="3" width="9.28515625" bestFit="1" customWidth="1"/>
    <col min="4" max="4" width="9.7109375" bestFit="1" customWidth="1"/>
    <col min="14" max="14" width="9.5703125" customWidth="1"/>
    <col min="15" max="15" width="3.7109375" customWidth="1"/>
    <col min="16" max="16" width="39.28515625" bestFit="1" customWidth="1"/>
  </cols>
  <sheetData>
    <row r="2" spans="2:19" x14ac:dyDescent="0.25">
      <c r="B2" s="4"/>
      <c r="C2" s="5" t="s">
        <v>7</v>
      </c>
      <c r="D2" s="6"/>
      <c r="E2" s="6"/>
      <c r="F2" s="6"/>
      <c r="G2" s="5" t="s">
        <v>8</v>
      </c>
      <c r="H2" s="6"/>
      <c r="I2" s="6"/>
      <c r="J2" s="7"/>
      <c r="K2" s="21" t="s">
        <v>26</v>
      </c>
      <c r="L2" s="21"/>
      <c r="M2" s="21"/>
      <c r="N2" s="21"/>
      <c r="P2" s="8">
        <v>44289</v>
      </c>
    </row>
    <row r="3" spans="2:19" x14ac:dyDescent="0.25">
      <c r="B3" s="9" t="s">
        <v>9</v>
      </c>
      <c r="C3" s="10" t="s">
        <v>10</v>
      </c>
      <c r="D3" t="s">
        <v>11</v>
      </c>
      <c r="E3" t="s">
        <v>12</v>
      </c>
      <c r="F3" t="s">
        <v>13</v>
      </c>
      <c r="G3" s="10" t="s">
        <v>10</v>
      </c>
      <c r="H3" t="s">
        <v>11</v>
      </c>
      <c r="I3" t="s">
        <v>12</v>
      </c>
      <c r="J3" s="11" t="s">
        <v>13</v>
      </c>
      <c r="K3" s="23" t="s">
        <v>10</v>
      </c>
      <c r="L3" s="23" t="s">
        <v>11</v>
      </c>
      <c r="M3" s="23" t="s">
        <v>12</v>
      </c>
      <c r="N3" s="23" t="s">
        <v>13</v>
      </c>
      <c r="P3" t="s">
        <v>14</v>
      </c>
    </row>
    <row r="4" spans="2:19" x14ac:dyDescent="0.25">
      <c r="B4" s="9">
        <v>1</v>
      </c>
      <c r="C4" s="10">
        <v>0</v>
      </c>
      <c r="D4">
        <v>0</v>
      </c>
      <c r="E4">
        <v>0</v>
      </c>
      <c r="F4">
        <v>0</v>
      </c>
      <c r="G4" s="10">
        <v>-730</v>
      </c>
      <c r="H4">
        <v>-795</v>
      </c>
      <c r="I4">
        <v>-1430</v>
      </c>
      <c r="J4" s="11">
        <v>-1300</v>
      </c>
      <c r="K4" s="22">
        <f>G4*0.705-(C4*9.81)</f>
        <v>-514.65</v>
      </c>
      <c r="L4" s="22">
        <f>H4*0.705-(D4*9.81)</f>
        <v>-560.47500000000002</v>
      </c>
      <c r="M4" s="22">
        <f>I4*0.44-(E4*9.81)</f>
        <v>-629.20000000000005</v>
      </c>
      <c r="N4" s="22">
        <f>J4*0.44-(F4*9.81)</f>
        <v>-572</v>
      </c>
      <c r="P4" t="s">
        <v>15</v>
      </c>
    </row>
    <row r="5" spans="2:19" x14ac:dyDescent="0.25">
      <c r="B5" s="9">
        <v>2</v>
      </c>
      <c r="C5" s="10">
        <v>53</v>
      </c>
      <c r="D5">
        <v>85</v>
      </c>
      <c r="E5">
        <v>79</v>
      </c>
      <c r="F5">
        <v>51.5</v>
      </c>
      <c r="G5" s="10">
        <v>20</v>
      </c>
      <c r="H5">
        <v>280</v>
      </c>
      <c r="I5">
        <v>240</v>
      </c>
      <c r="J5" s="11">
        <v>-130</v>
      </c>
      <c r="K5" s="22">
        <f t="shared" ref="K5:K11" si="0">G5*0.705-(C5*9.81)</f>
        <v>-505.83000000000004</v>
      </c>
      <c r="L5" s="22">
        <f t="shared" ref="L5:L11" si="1">H5*0.705-(D5*9.81)</f>
        <v>-636.45000000000005</v>
      </c>
      <c r="M5" s="22">
        <f t="shared" ref="M5:M11" si="2">I5*0.44-(E5*9.81)</f>
        <v>-669.39</v>
      </c>
      <c r="N5" s="22">
        <f t="shared" ref="N5:N11" si="3">J5*0.44-(F5*9.81)</f>
        <v>-562.41500000000008</v>
      </c>
      <c r="P5" t="s">
        <v>16</v>
      </c>
    </row>
    <row r="6" spans="2:19" x14ac:dyDescent="0.25">
      <c r="B6" s="9">
        <v>3</v>
      </c>
      <c r="C6" s="10">
        <v>79.5</v>
      </c>
      <c r="D6">
        <v>119</v>
      </c>
      <c r="E6">
        <v>116</v>
      </c>
      <c r="F6">
        <v>79</v>
      </c>
      <c r="G6" s="10">
        <v>200</v>
      </c>
      <c r="H6">
        <v>760</v>
      </c>
      <c r="I6">
        <v>1010</v>
      </c>
      <c r="J6" s="11">
        <v>330</v>
      </c>
      <c r="K6" s="22">
        <f t="shared" si="0"/>
        <v>-638.8950000000001</v>
      </c>
      <c r="L6" s="22">
        <f t="shared" si="1"/>
        <v>-631.59000000000015</v>
      </c>
      <c r="M6" s="22">
        <f t="shared" si="2"/>
        <v>-693.56000000000006</v>
      </c>
      <c r="N6" s="22">
        <f t="shared" si="3"/>
        <v>-629.79</v>
      </c>
    </row>
    <row r="7" spans="2:19" x14ac:dyDescent="0.25">
      <c r="B7" s="9">
        <v>4</v>
      </c>
      <c r="C7" s="10">
        <v>107</v>
      </c>
      <c r="D7">
        <v>153.5</v>
      </c>
      <c r="E7">
        <v>161</v>
      </c>
      <c r="F7">
        <v>116</v>
      </c>
      <c r="G7" s="10">
        <v>630</v>
      </c>
      <c r="H7">
        <v>1295</v>
      </c>
      <c r="I7">
        <v>2000</v>
      </c>
      <c r="J7" s="11">
        <v>1240</v>
      </c>
      <c r="K7" s="22">
        <f t="shared" si="0"/>
        <v>-605.5200000000001</v>
      </c>
      <c r="L7" s="22">
        <f t="shared" si="1"/>
        <v>-592.86000000000013</v>
      </c>
      <c r="M7" s="22">
        <f t="shared" si="2"/>
        <v>-699.41000000000008</v>
      </c>
      <c r="N7" s="22">
        <f t="shared" si="3"/>
        <v>-592.36</v>
      </c>
      <c r="P7" t="s">
        <v>17</v>
      </c>
      <c r="Q7">
        <f>C11+D11+E11+F11</f>
        <v>1158.5</v>
      </c>
      <c r="R7" t="s">
        <v>18</v>
      </c>
      <c r="S7" t="s">
        <v>19</v>
      </c>
    </row>
    <row r="8" spans="2:19" x14ac:dyDescent="0.25">
      <c r="B8" s="9">
        <v>5</v>
      </c>
      <c r="C8" s="10">
        <v>138</v>
      </c>
      <c r="D8">
        <v>186.5</v>
      </c>
      <c r="E8">
        <v>199</v>
      </c>
      <c r="F8">
        <v>156</v>
      </c>
      <c r="G8" s="10">
        <v>1070</v>
      </c>
      <c r="H8">
        <v>1760</v>
      </c>
      <c r="I8">
        <v>2870</v>
      </c>
      <c r="J8" s="11">
        <v>2110</v>
      </c>
      <c r="K8" s="22">
        <f t="shared" si="0"/>
        <v>-599.43000000000006</v>
      </c>
      <c r="L8" s="22">
        <f t="shared" si="1"/>
        <v>-588.7650000000001</v>
      </c>
      <c r="M8" s="22">
        <f t="shared" si="2"/>
        <v>-689.3900000000001</v>
      </c>
      <c r="N8" s="22">
        <f t="shared" si="3"/>
        <v>-601.96000000000015</v>
      </c>
      <c r="P8" t="s">
        <v>20</v>
      </c>
      <c r="Q8" s="2">
        <f>SUM(C11:D11)/SUM(C11:F11)</f>
        <v>0.43763487268018991</v>
      </c>
    </row>
    <row r="9" spans="2:19" x14ac:dyDescent="0.25">
      <c r="B9" s="9">
        <v>6</v>
      </c>
      <c r="C9" s="10">
        <v>164</v>
      </c>
      <c r="D9">
        <v>214.5</v>
      </c>
      <c r="E9">
        <v>233.5</v>
      </c>
      <c r="F9">
        <v>190</v>
      </c>
      <c r="G9" s="10">
        <v>1460</v>
      </c>
      <c r="H9">
        <v>2160</v>
      </c>
      <c r="I9">
        <v>3640</v>
      </c>
      <c r="J9" s="11">
        <v>2870</v>
      </c>
      <c r="K9" s="22">
        <f t="shared" si="0"/>
        <v>-579.54000000000019</v>
      </c>
      <c r="L9" s="22">
        <f t="shared" si="1"/>
        <v>-581.44499999999994</v>
      </c>
      <c r="M9" s="22">
        <f t="shared" si="2"/>
        <v>-689.03500000000031</v>
      </c>
      <c r="N9" s="22">
        <f t="shared" si="3"/>
        <v>-601.10000000000014</v>
      </c>
    </row>
    <row r="10" spans="2:19" x14ac:dyDescent="0.25">
      <c r="B10" s="9">
        <v>7</v>
      </c>
      <c r="C10" s="10">
        <v>203</v>
      </c>
      <c r="D10">
        <v>256</v>
      </c>
      <c r="E10">
        <v>285.5</v>
      </c>
      <c r="F10">
        <v>242</v>
      </c>
      <c r="G10" s="10">
        <v>2030</v>
      </c>
      <c r="H10">
        <v>2750</v>
      </c>
      <c r="I10">
        <v>4800</v>
      </c>
      <c r="J10" s="11">
        <v>4050</v>
      </c>
      <c r="K10" s="22">
        <f t="shared" si="0"/>
        <v>-560.2800000000002</v>
      </c>
      <c r="L10" s="22">
        <f t="shared" si="1"/>
        <v>-572.61000000000013</v>
      </c>
      <c r="M10" s="22">
        <f t="shared" si="2"/>
        <v>-688.75500000000011</v>
      </c>
      <c r="N10" s="22">
        <f t="shared" si="3"/>
        <v>-592.02</v>
      </c>
      <c r="P10" t="s">
        <v>27</v>
      </c>
      <c r="Q10">
        <f>((G11-K13)*C21+(H11-L13)*C22)/(((G11-K13)*C21+(H11-L13)*C22)+((I11-M13)*C23+(J11-N13)*C24))</f>
        <v>0.44834184992845399</v>
      </c>
    </row>
    <row r="11" spans="2:19" x14ac:dyDescent="0.25">
      <c r="B11" s="9">
        <v>8</v>
      </c>
      <c r="C11" s="10">
        <v>228</v>
      </c>
      <c r="D11">
        <v>279</v>
      </c>
      <c r="E11">
        <v>347.5</v>
      </c>
      <c r="F11">
        <v>304</v>
      </c>
      <c r="G11" s="10">
        <v>2400</v>
      </c>
      <c r="H11">
        <v>3085</v>
      </c>
      <c r="I11">
        <v>6320</v>
      </c>
      <c r="J11" s="11">
        <v>5480</v>
      </c>
      <c r="K11" s="22">
        <f t="shared" si="0"/>
        <v>-544.68000000000029</v>
      </c>
      <c r="L11" s="22">
        <f t="shared" si="1"/>
        <v>-562.06500000000051</v>
      </c>
      <c r="M11" s="22">
        <f t="shared" si="2"/>
        <v>-628.17500000000018</v>
      </c>
      <c r="N11" s="22">
        <f t="shared" si="3"/>
        <v>-571.04000000000042</v>
      </c>
      <c r="P11" t="s">
        <v>28</v>
      </c>
      <c r="Q11">
        <f>((G11-K14)*C21+(H11-L14)*C22)/(((G11-K14)*C21+(H11-L14)*C22)+((I11-M14)*C23+(J11-N14)*C24))</f>
        <v>0.43456843783864257</v>
      </c>
    </row>
    <row r="12" spans="2:19" x14ac:dyDescent="0.25">
      <c r="B12" s="9"/>
      <c r="C12" s="10"/>
      <c r="G12" s="10"/>
      <c r="J12" s="11"/>
      <c r="K12" s="22"/>
      <c r="L12" s="22"/>
      <c r="M12" s="22"/>
      <c r="N12" s="22"/>
    </row>
    <row r="13" spans="2:19" x14ac:dyDescent="0.25">
      <c r="B13" s="9"/>
      <c r="C13" s="10"/>
      <c r="G13" s="10"/>
      <c r="J13" s="11"/>
      <c r="K13" s="26">
        <f>AVERAGE(K4:K11)</f>
        <v>-568.60312500000009</v>
      </c>
      <c r="L13" s="26">
        <f t="shared" ref="L13:N13" si="4">AVERAGE(L4:L11)</f>
        <v>-590.78250000000003</v>
      </c>
      <c r="M13" s="26">
        <f t="shared" si="4"/>
        <v>-673.36437500000022</v>
      </c>
      <c r="N13" s="26">
        <f t="shared" si="4"/>
        <v>-590.33562500000016</v>
      </c>
    </row>
    <row r="14" spans="2:19" x14ac:dyDescent="0.25">
      <c r="B14" s="9"/>
      <c r="C14" s="10"/>
      <c r="G14" s="10"/>
      <c r="J14" s="11"/>
      <c r="K14" s="22">
        <f>K13+(40*9.81)</f>
        <v>-176.20312500000006</v>
      </c>
      <c r="L14" s="22">
        <f>L13+(40*9.81)</f>
        <v>-198.38249999999999</v>
      </c>
      <c r="M14" s="22">
        <f>M13+(45*9.81)</f>
        <v>-231.91437500000018</v>
      </c>
      <c r="N14" s="22">
        <f>N13+(45*9.81)</f>
        <v>-148.88562500000012</v>
      </c>
    </row>
    <row r="15" spans="2:19" x14ac:dyDescent="0.25">
      <c r="B15" s="9"/>
      <c r="C15" s="10"/>
      <c r="G15" s="10"/>
      <c r="J15" s="11"/>
      <c r="K15" s="22"/>
      <c r="L15" s="22"/>
      <c r="M15" s="22"/>
      <c r="N15" s="22"/>
    </row>
    <row r="16" spans="2:19" x14ac:dyDescent="0.25">
      <c r="B16" s="12"/>
      <c r="C16" s="13"/>
      <c r="D16" s="14"/>
      <c r="E16" s="14"/>
      <c r="F16" s="14"/>
      <c r="G16" s="13"/>
      <c r="H16" s="14"/>
      <c r="I16" s="14"/>
      <c r="J16" s="15"/>
      <c r="K16" s="22"/>
      <c r="L16" s="22"/>
      <c r="M16" s="22"/>
      <c r="N16" s="22"/>
    </row>
    <row r="18" spans="2:16" x14ac:dyDescent="0.25">
      <c r="K18" s="20">
        <f>G11*$G$21+$H$21</f>
        <v>2272.6989915331264</v>
      </c>
      <c r="L18" s="20">
        <f t="shared" ref="L18:N18" si="5">H11*$G$21+$H$21</f>
        <v>2755.1580150985315</v>
      </c>
      <c r="M18" s="20">
        <f>I11*$G$23+$H$23</f>
        <v>3413.7596560139455</v>
      </c>
      <c r="N18" s="20">
        <f>J11*$G$23+$H$23</f>
        <v>3043.9190510836679</v>
      </c>
      <c r="P18">
        <f>SUM(K18:N18)/9.81</f>
        <v>1170.7987475768878</v>
      </c>
    </row>
    <row r="19" spans="2:16" x14ac:dyDescent="0.25">
      <c r="B19" s="4"/>
      <c r="C19" s="16" t="s">
        <v>21</v>
      </c>
      <c r="D19" s="17"/>
      <c r="E19" s="17"/>
      <c r="F19" s="17"/>
      <c r="G19" s="16" t="s">
        <v>22</v>
      </c>
      <c r="H19" s="17"/>
      <c r="I19" s="18"/>
      <c r="K19" s="19">
        <f>(K18+L18)/(K18+L18+M18+N18)</f>
        <v>0.43775555028065377</v>
      </c>
    </row>
    <row r="20" spans="2:16" x14ac:dyDescent="0.25">
      <c r="B20" s="9"/>
      <c r="C20" t="s">
        <v>23</v>
      </c>
      <c r="D20" t="s">
        <v>24</v>
      </c>
      <c r="G20" t="s">
        <v>23</v>
      </c>
      <c r="H20" t="s">
        <v>24</v>
      </c>
      <c r="I20" s="11"/>
    </row>
    <row r="21" spans="2:16" x14ac:dyDescent="0.25">
      <c r="B21" s="9" t="s">
        <v>10</v>
      </c>
      <c r="C21" s="25" cm="1">
        <f t="array" ref="C21:D21">LINEST(C4:C11*9.81,G4:G11,TRUE,FALSE)</f>
        <v>0.71137099328398112</v>
      </c>
      <c r="D21" s="24">
        <v>562.96479594367702</v>
      </c>
      <c r="G21" s="19">
        <f>(C21+C22)/2</f>
        <v>0.7043197424312484</v>
      </c>
      <c r="H21" s="20">
        <f>SUM(D21:D22)/2</f>
        <v>582.33160969813025</v>
      </c>
      <c r="I21" s="11" t="s">
        <v>25</v>
      </c>
    </row>
    <row r="22" spans="2:16" x14ac:dyDescent="0.25">
      <c r="B22" s="9" t="s">
        <v>11</v>
      </c>
      <c r="C22" s="25" cm="1">
        <f t="array" ref="C22:D22">LINEST(D4:D11*9.81,H4:H11,TRUE,FALSE)</f>
        <v>0.69726849157851556</v>
      </c>
      <c r="D22" s="24">
        <v>601.69842345258337</v>
      </c>
      <c r="I22" s="11"/>
    </row>
    <row r="23" spans="2:16" x14ac:dyDescent="0.25">
      <c r="B23" s="9" t="s">
        <v>12</v>
      </c>
      <c r="C23" s="25" cm="1">
        <f t="array" ref="C23:D23">LINEST(E4:E11*9.81,I4:I11,TRUE,FALSE)</f>
        <v>0.44058692194075255</v>
      </c>
      <c r="D23" s="24">
        <v>671.93742103154545</v>
      </c>
      <c r="G23" s="19">
        <f>(C23+C24)/2</f>
        <v>0.44028643444080673</v>
      </c>
      <c r="H23" s="20">
        <f>SUM(D23:D24)/2</f>
        <v>631.14939034804684</v>
      </c>
      <c r="I23" s="11" t="s">
        <v>25</v>
      </c>
    </row>
    <row r="24" spans="2:16" x14ac:dyDescent="0.25">
      <c r="B24" s="12" t="s">
        <v>13</v>
      </c>
      <c r="C24" s="27" cm="1">
        <f t="array" ref="C24:D24">LINEST(F4:F11*9.81,J4:J11,TRUE,FALSE)</f>
        <v>0.43998594694086096</v>
      </c>
      <c r="D24" s="28">
        <v>590.36135966454833</v>
      </c>
      <c r="E24" s="14"/>
      <c r="F24" s="14"/>
      <c r="G24" s="14"/>
      <c r="H24" s="14"/>
      <c r="I24" s="15"/>
    </row>
    <row r="27" spans="2:16" x14ac:dyDescent="0.25">
      <c r="C27">
        <f>SUM(G11:H11)*0.704</f>
        <v>3861.4399999999996</v>
      </c>
    </row>
    <row r="28" spans="2:16" x14ac:dyDescent="0.25">
      <c r="C28">
        <f>(C11+D11)*9.81</f>
        <v>4973.67</v>
      </c>
      <c r="D28" s="20">
        <f>C28-C27</f>
        <v>1112.2300000000005</v>
      </c>
    </row>
    <row r="30" spans="2:16" x14ac:dyDescent="0.25">
      <c r="C30">
        <f>SUM(I11:J11)*0.44</f>
        <v>5192</v>
      </c>
    </row>
    <row r="31" spans="2:16" x14ac:dyDescent="0.25">
      <c r="C31" s="20">
        <f>(E11+F11)*9.81</f>
        <v>6391.2150000000001</v>
      </c>
      <c r="D31" s="20">
        <f>C31-C30</f>
        <v>1199.2150000000001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2015-06-05T18:17:20Z</dcterms:created>
  <dcterms:modified xsi:type="dcterms:W3CDTF">2021-04-20T17:58:17Z</dcterms:modified>
</cp:coreProperties>
</file>