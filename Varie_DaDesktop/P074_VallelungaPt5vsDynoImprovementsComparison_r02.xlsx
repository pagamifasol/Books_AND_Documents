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ACF60CC9-1E72-43B7-9C64-95D9C82E5079}" xr6:coauthVersionLast="46" xr6:coauthVersionMax="46" xr10:uidLastSave="{00000000-0000-0000-0000-000000000000}"/>
  <bookViews>
    <workbookView xWindow="-120" yWindow="-120" windowWidth="29040" windowHeight="15840" xr2:uid="{0F28B03B-6E61-449C-AEF8-739013E64C8D}"/>
  </bookViews>
  <sheets>
    <sheet name="Final runs" sheetId="1" r:id="rId1"/>
    <sheet name="Intermediate Development runs" sheetId="2" r:id="rId2"/>
    <sheet name="20210513_PIPO_Engine5ADeliver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9" i="3" l="1"/>
  <c r="AG69" i="3"/>
  <c r="AF69" i="3"/>
  <c r="AE69" i="3"/>
  <c r="AD69" i="3"/>
  <c r="AC69" i="3"/>
  <c r="AJ68" i="3"/>
  <c r="AJ69" i="3" s="1"/>
  <c r="AI68" i="3"/>
  <c r="AI69" i="3" s="1"/>
  <c r="AH68" i="3"/>
  <c r="AG68" i="3"/>
  <c r="AF68" i="3"/>
  <c r="AE68" i="3"/>
  <c r="AD68" i="3"/>
  <c r="AC68" i="3"/>
  <c r="AB68" i="3"/>
  <c r="AB69" i="3" s="1"/>
  <c r="AA68" i="3"/>
  <c r="AA69" i="3" s="1"/>
  <c r="AJ66" i="3"/>
  <c r="AI66" i="3"/>
  <c r="AH66" i="3"/>
  <c r="AG66" i="3"/>
  <c r="AF66" i="3"/>
  <c r="AE66" i="3"/>
  <c r="AD66" i="3"/>
  <c r="AC66" i="3"/>
  <c r="AB66" i="3"/>
  <c r="AA66" i="3"/>
  <c r="AJ58" i="3"/>
  <c r="AI58" i="3"/>
  <c r="AF58" i="3"/>
  <c r="AE58" i="3"/>
  <c r="AD58" i="3"/>
  <c r="AC58" i="3"/>
  <c r="AB58" i="3"/>
  <c r="AA58" i="3"/>
  <c r="AJ57" i="3"/>
  <c r="AI57" i="3"/>
  <c r="AH57" i="3"/>
  <c r="AH58" i="3" s="1"/>
  <c r="AG57" i="3"/>
  <c r="AG58" i="3" s="1"/>
  <c r="AF57" i="3"/>
  <c r="AE57" i="3"/>
  <c r="AD57" i="3"/>
  <c r="AC57" i="3"/>
  <c r="AB57" i="3"/>
  <c r="AA57" i="3"/>
  <c r="AJ55" i="3"/>
  <c r="AI55" i="3"/>
  <c r="AH55" i="3"/>
  <c r="AG55" i="3"/>
  <c r="AF55" i="3"/>
  <c r="AE55" i="3"/>
  <c r="AD55" i="3"/>
  <c r="AC55" i="3"/>
  <c r="AB55" i="3"/>
  <c r="AA55" i="3"/>
  <c r="AS47" i="3"/>
  <c r="AR47" i="3"/>
  <c r="AQ47" i="3"/>
  <c r="AM47" i="3"/>
  <c r="AK47" i="3"/>
  <c r="AJ47" i="3"/>
  <c r="AI47" i="3"/>
  <c r="AE47" i="3"/>
  <c r="AD47" i="3"/>
  <c r="AC47" i="3"/>
  <c r="AB47" i="3"/>
  <c r="AA47" i="3"/>
  <c r="AS46" i="3"/>
  <c r="AR46" i="3"/>
  <c r="AQ46" i="3"/>
  <c r="AP46" i="3"/>
  <c r="AP47" i="3" s="1"/>
  <c r="AO46" i="3"/>
  <c r="AO47" i="3" s="1"/>
  <c r="AN46" i="3"/>
  <c r="AN47" i="3" s="1"/>
  <c r="AM46" i="3"/>
  <c r="AK46" i="3"/>
  <c r="AJ46" i="3"/>
  <c r="AI46" i="3"/>
  <c r="AH46" i="3"/>
  <c r="AH47" i="3" s="1"/>
  <c r="AG46" i="3"/>
  <c r="AF46" i="3"/>
  <c r="AF47" i="3" s="1"/>
  <c r="AE46" i="3"/>
  <c r="AL45" i="3"/>
  <c r="AL46" i="3" s="1"/>
  <c r="AL47" i="3" s="1"/>
  <c r="AG45" i="3"/>
  <c r="AS44" i="3"/>
  <c r="AR44" i="3"/>
  <c r="AQ44" i="3"/>
  <c r="AP44" i="3"/>
  <c r="AO44" i="3"/>
  <c r="AN44" i="3"/>
  <c r="AM44" i="3"/>
  <c r="AK44" i="3"/>
  <c r="AJ44" i="3"/>
  <c r="AI44" i="3"/>
  <c r="AH44" i="3"/>
  <c r="AG44" i="3"/>
  <c r="AF44" i="3"/>
  <c r="AE44" i="3"/>
  <c r="AL43" i="3"/>
  <c r="AL44" i="3" s="1"/>
  <c r="AG43" i="3"/>
  <c r="AG47" i="3" s="1"/>
  <c r="AR36" i="3"/>
  <c r="AQ36" i="3"/>
  <c r="AJ36" i="3"/>
  <c r="AI36" i="3"/>
  <c r="AB36" i="3"/>
  <c r="AA36" i="3"/>
  <c r="P36" i="3"/>
  <c r="O36" i="3"/>
  <c r="H36" i="3"/>
  <c r="G36" i="3"/>
  <c r="F36" i="3"/>
  <c r="E36" i="3"/>
  <c r="D36" i="3"/>
  <c r="AS35" i="3"/>
  <c r="AS36" i="3" s="1"/>
  <c r="AR35" i="3"/>
  <c r="AQ35" i="3"/>
  <c r="AP35" i="3"/>
  <c r="AP36" i="3" s="1"/>
  <c r="AO35" i="3"/>
  <c r="AO36" i="3" s="1"/>
  <c r="AN35" i="3"/>
  <c r="AN36" i="3" s="1"/>
  <c r="AM35" i="3"/>
  <c r="AM36" i="3" s="1"/>
  <c r="AL35" i="3"/>
  <c r="AL36" i="3" s="1"/>
  <c r="AK35" i="3"/>
  <c r="AK36" i="3" s="1"/>
  <c r="AJ35" i="3"/>
  <c r="AI35" i="3"/>
  <c r="AH35" i="3"/>
  <c r="AH36" i="3" s="1"/>
  <c r="AG35" i="3"/>
  <c r="AG36" i="3" s="1"/>
  <c r="AF35" i="3"/>
  <c r="AF36" i="3" s="1"/>
  <c r="AE35" i="3"/>
  <c r="AE36" i="3" s="1"/>
  <c r="AD35" i="3"/>
  <c r="AD36" i="3" s="1"/>
  <c r="AC35" i="3"/>
  <c r="AC36" i="3" s="1"/>
  <c r="AB35" i="3"/>
  <c r="AA35" i="3"/>
  <c r="V35" i="3"/>
  <c r="V36" i="3" s="1"/>
  <c r="U35" i="3"/>
  <c r="U36" i="3" s="1"/>
  <c r="T35" i="3"/>
  <c r="T36" i="3" s="1"/>
  <c r="S35" i="3"/>
  <c r="S36" i="3" s="1"/>
  <c r="R35" i="3"/>
  <c r="R36" i="3" s="1"/>
  <c r="Q35" i="3"/>
  <c r="Q36" i="3" s="1"/>
  <c r="P35" i="3"/>
  <c r="O35" i="3"/>
  <c r="N35" i="3"/>
  <c r="N36" i="3" s="1"/>
  <c r="M35" i="3"/>
  <c r="M36" i="3" s="1"/>
  <c r="L35" i="3"/>
  <c r="L36" i="3" s="1"/>
  <c r="K35" i="3"/>
  <c r="K36" i="3" s="1"/>
  <c r="J35" i="3"/>
  <c r="J36" i="3" s="1"/>
  <c r="I35" i="3"/>
  <c r="I36" i="3" s="1"/>
  <c r="H35" i="3"/>
  <c r="G35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AE24" i="3"/>
  <c r="AD24" i="3"/>
  <c r="AC24" i="3"/>
  <c r="S24" i="3"/>
  <c r="R24" i="3"/>
  <c r="Q24" i="3"/>
  <c r="K24" i="3"/>
  <c r="J24" i="3"/>
  <c r="I24" i="3"/>
  <c r="F24" i="3"/>
  <c r="E24" i="3"/>
  <c r="D24" i="3"/>
  <c r="AJ23" i="3"/>
  <c r="AJ24" i="3" s="1"/>
  <c r="AI23" i="3"/>
  <c r="AI24" i="3" s="1"/>
  <c r="AH23" i="3"/>
  <c r="AH24" i="3" s="1"/>
  <c r="AG23" i="3"/>
  <c r="AG24" i="3" s="1"/>
  <c r="AF23" i="3"/>
  <c r="AF24" i="3" s="1"/>
  <c r="AE23" i="3"/>
  <c r="AD23" i="3"/>
  <c r="AC23" i="3"/>
  <c r="AB23" i="3"/>
  <c r="AB24" i="3" s="1"/>
  <c r="AA23" i="3"/>
  <c r="AA24" i="3" s="1"/>
  <c r="V23" i="3"/>
  <c r="V24" i="3" s="1"/>
  <c r="U23" i="3"/>
  <c r="U24" i="3" s="1"/>
  <c r="T23" i="3"/>
  <c r="T24" i="3" s="1"/>
  <c r="S23" i="3"/>
  <c r="R23" i="3"/>
  <c r="Q23" i="3"/>
  <c r="P23" i="3"/>
  <c r="P24" i="3" s="1"/>
  <c r="O23" i="3"/>
  <c r="O24" i="3" s="1"/>
  <c r="N23" i="3"/>
  <c r="N24" i="3" s="1"/>
  <c r="M23" i="3"/>
  <c r="M24" i="3" s="1"/>
  <c r="L23" i="3"/>
  <c r="L24" i="3" s="1"/>
  <c r="K23" i="3"/>
  <c r="J23" i="3"/>
  <c r="I23" i="3"/>
  <c r="H23" i="3"/>
  <c r="H24" i="3" s="1"/>
  <c r="G23" i="3"/>
  <c r="G24" i="3" s="1"/>
  <c r="AJ21" i="3"/>
  <c r="AI21" i="3"/>
  <c r="AH21" i="3"/>
  <c r="AG21" i="3"/>
  <c r="AF21" i="3"/>
  <c r="AE21" i="3"/>
  <c r="AD21" i="3"/>
  <c r="AC21" i="3"/>
  <c r="AB21" i="3"/>
  <c r="AA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AF13" i="3"/>
  <c r="AE13" i="3"/>
  <c r="AD13" i="3"/>
  <c r="U13" i="3"/>
  <c r="T13" i="3"/>
  <c r="S13" i="3"/>
  <c r="R13" i="3"/>
  <c r="Q13" i="3"/>
  <c r="P13" i="3"/>
  <c r="O13" i="3"/>
  <c r="N13" i="3"/>
  <c r="M13" i="3"/>
  <c r="K13" i="3"/>
  <c r="I13" i="3"/>
  <c r="G13" i="3"/>
  <c r="F13" i="3"/>
  <c r="E13" i="3"/>
  <c r="D13" i="3"/>
  <c r="AJ12" i="3"/>
  <c r="AJ13" i="3" s="1"/>
  <c r="AI12" i="3"/>
  <c r="AI13" i="3" s="1"/>
  <c r="AH12" i="3"/>
  <c r="AH13" i="3" s="1"/>
  <c r="AG12" i="3"/>
  <c r="AG13" i="3" s="1"/>
  <c r="AF12" i="3"/>
  <c r="AE12" i="3"/>
  <c r="AD12" i="3"/>
  <c r="AC12" i="3"/>
  <c r="AC13" i="3" s="1"/>
  <c r="AB12" i="3"/>
  <c r="AB13" i="3" s="1"/>
  <c r="AA12" i="3"/>
  <c r="AA13" i="3" s="1"/>
  <c r="V12" i="3"/>
  <c r="V13" i="3" s="1"/>
  <c r="T12" i="3"/>
  <c r="R12" i="3"/>
  <c r="P12" i="3"/>
  <c r="N12" i="3"/>
  <c r="L12" i="3"/>
  <c r="L13" i="3" s="1"/>
  <c r="J12" i="3"/>
  <c r="J13" i="3" s="1"/>
  <c r="H12" i="3"/>
  <c r="H13" i="3" s="1"/>
  <c r="AJ10" i="3"/>
  <c r="AI10" i="3"/>
  <c r="AH10" i="3"/>
  <c r="AG10" i="3"/>
  <c r="AF10" i="3"/>
  <c r="AE10" i="3"/>
  <c r="AD10" i="3"/>
  <c r="AC10" i="3"/>
  <c r="AB10" i="3"/>
  <c r="AA10" i="3"/>
  <c r="V10" i="3"/>
  <c r="T10" i="3"/>
  <c r="R10" i="3"/>
  <c r="P10" i="3"/>
  <c r="N10" i="3"/>
  <c r="L10" i="3"/>
  <c r="J10" i="3"/>
  <c r="H10" i="3"/>
  <c r="N12" i="2"/>
  <c r="E12" i="2"/>
  <c r="Q10" i="2"/>
  <c r="Q12" i="2" s="1"/>
  <c r="P10" i="2"/>
  <c r="P12" i="2" s="1"/>
  <c r="O10" i="2"/>
  <c r="O12" i="2" s="1"/>
  <c r="N10" i="2"/>
  <c r="M10" i="2"/>
  <c r="M12" i="2" s="1"/>
  <c r="L10" i="2"/>
  <c r="L12" i="2" s="1"/>
  <c r="K10" i="2"/>
  <c r="K12" i="2" s="1"/>
  <c r="J10" i="2"/>
  <c r="J12" i="2" s="1"/>
  <c r="I10" i="2"/>
  <c r="I12" i="2" s="1"/>
  <c r="H10" i="2"/>
  <c r="H12" i="2" s="1"/>
  <c r="G10" i="2"/>
  <c r="G12" i="2" s="1"/>
  <c r="F10" i="2"/>
  <c r="F12" i="2" s="1"/>
  <c r="E10" i="2"/>
  <c r="D10" i="2"/>
  <c r="D12" i="2" s="1"/>
  <c r="C10" i="2"/>
  <c r="C12" i="2" s="1"/>
  <c r="L6" i="2"/>
  <c r="K6" i="2"/>
  <c r="D6" i="2"/>
  <c r="Q4" i="2"/>
  <c r="Q6" i="2" s="1"/>
  <c r="P4" i="2"/>
  <c r="P6" i="2" s="1"/>
  <c r="O4" i="2"/>
  <c r="O6" i="2" s="1"/>
  <c r="N4" i="2"/>
  <c r="N6" i="2" s="1"/>
  <c r="M4" i="2"/>
  <c r="M6" i="2" s="1"/>
  <c r="L4" i="2"/>
  <c r="K4" i="2"/>
  <c r="J4" i="2"/>
  <c r="J6" i="2" s="1"/>
  <c r="I4" i="2"/>
  <c r="I6" i="2" s="1"/>
  <c r="H4" i="2"/>
  <c r="H6" i="2" s="1"/>
  <c r="G4" i="2"/>
  <c r="G6" i="2" s="1"/>
  <c r="F4" i="2"/>
  <c r="F6" i="2" s="1"/>
  <c r="E4" i="2"/>
  <c r="E6" i="2" s="1"/>
  <c r="D4" i="2"/>
  <c r="C4" i="2"/>
  <c r="C6" i="2" s="1"/>
  <c r="Q10" i="1"/>
  <c r="Q12" i="1" s="1"/>
  <c r="P10" i="1"/>
  <c r="P12" i="1" s="1"/>
  <c r="O10" i="1"/>
  <c r="O12" i="1" s="1"/>
  <c r="N10" i="1"/>
  <c r="N12" i="1" s="1"/>
  <c r="M10" i="1"/>
  <c r="M12" i="1" s="1"/>
  <c r="L10" i="1"/>
  <c r="L12" i="1" s="1"/>
  <c r="K10" i="1"/>
  <c r="K12" i="1" s="1"/>
  <c r="J10" i="1"/>
  <c r="J12" i="1" s="1"/>
  <c r="I10" i="1"/>
  <c r="I12" i="1" s="1"/>
  <c r="H10" i="1"/>
  <c r="H12" i="1" s="1"/>
  <c r="G10" i="1"/>
  <c r="G12" i="1" s="1"/>
  <c r="F10" i="1"/>
  <c r="F12" i="1" s="1"/>
  <c r="E10" i="1"/>
  <c r="E12" i="1" s="1"/>
  <c r="D10" i="1"/>
  <c r="D12" i="1" s="1"/>
  <c r="C10" i="1"/>
  <c r="C12" i="1" s="1"/>
  <c r="C4" i="1"/>
  <c r="C6" i="1" s="1"/>
  <c r="D4" i="1"/>
  <c r="D6" i="1" s="1"/>
  <c r="E4" i="1"/>
  <c r="E6" i="1" s="1"/>
  <c r="F4" i="1"/>
  <c r="F6" i="1" s="1"/>
  <c r="G4" i="1"/>
  <c r="G6" i="1" s="1"/>
  <c r="H4" i="1"/>
  <c r="H6" i="1" s="1"/>
  <c r="I4" i="1"/>
  <c r="I6" i="1" s="1"/>
  <c r="J4" i="1"/>
  <c r="J6" i="1" s="1"/>
  <c r="K4" i="1"/>
  <c r="K6" i="1" s="1"/>
  <c r="L4" i="1"/>
  <c r="L6" i="1" s="1"/>
  <c r="M4" i="1"/>
  <c r="M6" i="1" s="1"/>
  <c r="N4" i="1"/>
  <c r="N6" i="1" s="1"/>
  <c r="O4" i="1"/>
  <c r="O6" i="1" s="1"/>
  <c r="P4" i="1"/>
  <c r="P6" i="1" s="1"/>
  <c r="Q4" i="1"/>
  <c r="Q6" i="1" s="1"/>
</calcChain>
</file>

<file path=xl/sharedStrings.xml><?xml version="1.0" encoding="utf-8"?>
<sst xmlns="http://schemas.openxmlformats.org/spreadsheetml/2006/main" count="148" uniqueCount="41">
  <si>
    <t>TORQUE DYNO [Nm]</t>
  </si>
  <si>
    <t>FUEL CONS DYNO [kg/h]</t>
  </si>
  <si>
    <t>BSFC DYNO [kWh]</t>
  </si>
  <si>
    <t>TORQUE VALL [Nm]</t>
  </si>
  <si>
    <t>FUEL CONS VALL [kg/h]</t>
  </si>
  <si>
    <t>BSFC VALL [kWh]</t>
  </si>
  <si>
    <t>POWER DYNO [kW]</t>
  </si>
  <si>
    <t>POWER VALL [kW]</t>
  </si>
  <si>
    <t>Run 052</t>
  </si>
  <si>
    <t>Run 050</t>
  </si>
  <si>
    <t>Run 048 - Map improved after knock control</t>
  </si>
  <si>
    <t>Run 018 - Vallelunga PT5 dry map</t>
  </si>
  <si>
    <t>VAL 21T05 MAP (New engine at Dyno)</t>
  </si>
  <si>
    <t>Post-Knock Control session (New engine at Dyno)</t>
  </si>
  <si>
    <t>Data location</t>
  </si>
  <si>
    <t>File</t>
  </si>
  <si>
    <t>\\pe.local\shares\P074\TestData\20210513_PIPO_Engine5ADelivery</t>
  </si>
  <si>
    <t>P21-05A-20210512-20-34-55-Engine_Partial load 30%</t>
  </si>
  <si>
    <t>P21-05A-20210512-20-47-15-Engine_Courbe21 - 060 -520kw -partial</t>
  </si>
  <si>
    <t>33% Load</t>
  </si>
  <si>
    <t>21VALT05 (FROM DYNO DATA)</t>
  </si>
  <si>
    <t>33% LOAD</t>
  </si>
  <si>
    <t>Matt's version</t>
  </si>
  <si>
    <t>Improved map after knock control session</t>
  </si>
  <si>
    <t>RPM</t>
  </si>
  <si>
    <t>mfuel [kg/h]</t>
  </si>
  <si>
    <t>mfuel [kg/s]</t>
  </si>
  <si>
    <t>BSFC DYNO [g/kWh]</t>
  </si>
  <si>
    <t>\\pe.local\shares\P074\TestData\20210510_PIPO_KnockControl</t>
  </si>
  <si>
    <t>P21-01B-20210311-12-39-07Engine_Courbe21-0018-TGS</t>
  </si>
  <si>
    <t>Full Load 520kW</t>
  </si>
  <si>
    <t>FULL LOAD</t>
  </si>
  <si>
    <t>66% Load</t>
  </si>
  <si>
    <t>66% LOAD</t>
  </si>
  <si>
    <t>P21-05A-20210512-21-06-01-Engine_Courbe21 - 063 -520 kw old map Vallelunga</t>
  </si>
  <si>
    <t>P21-01B-20210507-20-39-14-Engine_Courbe-47-48</t>
  </si>
  <si>
    <t>R048-Map improved after knock control</t>
  </si>
  <si>
    <t>P21-05A-20210512-20-54-58-Engine_Courbe21 - 062 -500 kw</t>
  </si>
  <si>
    <t>Full Load 500kW</t>
  </si>
  <si>
    <t xml:space="preserve">P21-05A-20210512-20-50-04-Engine_Courbe21 - 061 -480kw </t>
  </si>
  <si>
    <t>Full Load 480kW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</si>
</sst>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/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5" fillId="0" borderId="0" xfId="1" applyAlignment="1">
      <alignment horizontal="center"/>
    </xf>
    <xf numFmtId="0" fontId="0" fillId="0" borderId="10" xfId="0" applyBorder="1" applyAlignment="1">
      <alignment horizontal="left"/>
    </xf>
    <xf numFmtId="0" fontId="0" fillId="0" borderId="8" xfId="0" applyBorder="1"/>
    <xf numFmtId="0" fontId="5" fillId="0" borderId="9" xfId="1" applyBorder="1" applyAlignment="1">
      <alignment horizontal="center"/>
    </xf>
    <xf numFmtId="9" fontId="7" fillId="2" borderId="9" xfId="0" applyNumberFormat="1" applyFont="1" applyFill="1" applyBorder="1" applyAlignment="1">
      <alignment horizontal="center" vertical="center"/>
    </xf>
    <xf numFmtId="9" fontId="7" fillId="2" borderId="11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5" xfId="0" applyBorder="1"/>
    <xf numFmtId="0" fontId="0" fillId="0" borderId="11" xfId="0" applyBorder="1"/>
    <xf numFmtId="0" fontId="1" fillId="0" borderId="15" xfId="0" applyFont="1" applyBorder="1"/>
    <xf numFmtId="1" fontId="1" fillId="0" borderId="0" xfId="0" applyNumberFormat="1" applyFont="1"/>
    <xf numFmtId="1" fontId="1" fillId="0" borderId="11" xfId="0" applyNumberFormat="1" applyFont="1" applyBorder="1"/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0" fillId="8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164" fontId="0" fillId="0" borderId="11" xfId="0" applyNumberFormat="1" applyBorder="1" applyAlignment="1">
      <alignment horizontal="center"/>
    </xf>
    <xf numFmtId="165" fontId="0" fillId="8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0" xfId="0" applyNumberFormat="1"/>
    <xf numFmtId="165" fontId="0" fillId="0" borderId="11" xfId="0" applyNumberFormat="1" applyBorder="1"/>
    <xf numFmtId="164" fontId="0" fillId="8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1" xfId="0" applyNumberFormat="1" applyBorder="1" applyAlignment="1">
      <alignment horizontal="right"/>
    </xf>
    <xf numFmtId="0" fontId="1" fillId="0" borderId="16" xfId="0" applyFont="1" applyBorder="1"/>
    <xf numFmtId="164" fontId="1" fillId="9" borderId="17" xfId="0" applyNumberFormat="1" applyFont="1" applyFill="1" applyBorder="1" applyAlignment="1">
      <alignment horizontal="center"/>
    </xf>
    <xf numFmtId="164" fontId="1" fillId="9" borderId="18" xfId="0" applyNumberFormat="1" applyFont="1" applyFill="1" applyBorder="1" applyAlignment="1">
      <alignment horizontal="center"/>
    </xf>
    <xf numFmtId="164" fontId="1" fillId="9" borderId="19" xfId="0" applyNumberFormat="1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9" fontId="7" fillId="6" borderId="9" xfId="0" applyNumberFormat="1" applyFont="1" applyFill="1" applyBorder="1" applyAlignment="1">
      <alignment horizontal="center" vertical="center"/>
    </xf>
    <xf numFmtId="9" fontId="7" fillId="6" borderId="1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5" fillId="0" borderId="0" xfId="1" applyBorder="1" applyAlignment="1">
      <alignment horizontal="center"/>
    </xf>
    <xf numFmtId="10" fontId="0" fillId="0" borderId="0" xfId="0" applyNumberFormat="1"/>
    <xf numFmtId="0" fontId="1" fillId="4" borderId="9" xfId="0" applyFont="1" applyFill="1" applyBorder="1"/>
    <xf numFmtId="0" fontId="1" fillId="4" borderId="0" xfId="0" applyFont="1" applyFill="1"/>
    <xf numFmtId="0" fontId="5" fillId="0" borderId="9" xfId="1" applyBorder="1" applyAlignment="1">
      <alignment horizontal="left"/>
    </xf>
    <xf numFmtId="0" fontId="5" fillId="0" borderId="0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'Final runs'!$B$12</c:f>
              <c:strCache>
                <c:ptCount val="1"/>
                <c:pt idx="0">
                  <c:v>BSFC VALL [kWh]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'Final runs'!$C$8:$Q$8</c:f>
              <c:numCache>
                <c:formatCode>General</c:formatCode>
                <c:ptCount val="15"/>
                <c:pt idx="0">
                  <c:v>4000</c:v>
                </c:pt>
                <c:pt idx="1">
                  <c:v>4250</c:v>
                </c:pt>
                <c:pt idx="2">
                  <c:v>4500</c:v>
                </c:pt>
                <c:pt idx="3">
                  <c:v>4750</c:v>
                </c:pt>
                <c:pt idx="4">
                  <c:v>5000</c:v>
                </c:pt>
                <c:pt idx="5">
                  <c:v>5250</c:v>
                </c:pt>
                <c:pt idx="6">
                  <c:v>5500</c:v>
                </c:pt>
                <c:pt idx="7">
                  <c:v>5750</c:v>
                </c:pt>
                <c:pt idx="8">
                  <c:v>6000</c:v>
                </c:pt>
                <c:pt idx="9">
                  <c:v>6250</c:v>
                </c:pt>
                <c:pt idx="10">
                  <c:v>6500</c:v>
                </c:pt>
                <c:pt idx="11">
                  <c:v>6750</c:v>
                </c:pt>
                <c:pt idx="12">
                  <c:v>7000</c:v>
                </c:pt>
                <c:pt idx="13">
                  <c:v>7250</c:v>
                </c:pt>
                <c:pt idx="14">
                  <c:v>7500</c:v>
                </c:pt>
              </c:numCache>
            </c:numRef>
          </c:xVal>
          <c:yVal>
            <c:numRef>
              <c:f>'Final runs'!$C$12:$Q$12</c:f>
              <c:numCache>
                <c:formatCode>0.0</c:formatCode>
                <c:ptCount val="15"/>
                <c:pt idx="0">
                  <c:v>243.08769000913375</c:v>
                </c:pt>
                <c:pt idx="1">
                  <c:v>243.51354659436083</c:v>
                </c:pt>
                <c:pt idx="2">
                  <c:v>240.32639620153714</c:v>
                </c:pt>
                <c:pt idx="3">
                  <c:v>246.707846262419</c:v>
                </c:pt>
                <c:pt idx="4">
                  <c:v>250.75918329276578</c:v>
                </c:pt>
                <c:pt idx="5">
                  <c:v>259.54836336521061</c:v>
                </c:pt>
                <c:pt idx="6">
                  <c:v>263.12371169548538</c:v>
                </c:pt>
                <c:pt idx="7">
                  <c:v>270.02231325464089</c:v>
                </c:pt>
                <c:pt idx="8">
                  <c:v>284.03218304673067</c:v>
                </c:pt>
                <c:pt idx="9">
                  <c:v>281.13802243409117</c:v>
                </c:pt>
                <c:pt idx="10">
                  <c:v>290.34652398091424</c:v>
                </c:pt>
                <c:pt idx="11">
                  <c:v>288.85135517072189</c:v>
                </c:pt>
                <c:pt idx="12">
                  <c:v>284.85364294297131</c:v>
                </c:pt>
                <c:pt idx="13">
                  <c:v>285.8775914711149</c:v>
                </c:pt>
                <c:pt idx="14">
                  <c:v>287.64543020106811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C7-4091-B262-48E7FAE89D85}"/>
            </c:ext>
          </c:extLst>
        </c:ser>
        <c:ser>
          <c:idx val="0"/>
          <c:order val="1"/>
          <c:tx>
            <c:strRef>
              <c:f>'Final runs'!$B$6</c:f>
              <c:strCache>
                <c:ptCount val="1"/>
                <c:pt idx="0">
                  <c:v>BSFC DYNO [kWh]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'Final runs'!$C$2:$Q$2</c:f>
              <c:numCache>
                <c:formatCode>General</c:formatCode>
                <c:ptCount val="15"/>
                <c:pt idx="0">
                  <c:v>4000</c:v>
                </c:pt>
                <c:pt idx="1">
                  <c:v>4250</c:v>
                </c:pt>
                <c:pt idx="2">
                  <c:v>4500</c:v>
                </c:pt>
                <c:pt idx="3">
                  <c:v>4750</c:v>
                </c:pt>
                <c:pt idx="4">
                  <c:v>5000</c:v>
                </c:pt>
                <c:pt idx="5">
                  <c:v>5250</c:v>
                </c:pt>
                <c:pt idx="6">
                  <c:v>5500</c:v>
                </c:pt>
                <c:pt idx="7">
                  <c:v>5750</c:v>
                </c:pt>
                <c:pt idx="8">
                  <c:v>6000</c:v>
                </c:pt>
                <c:pt idx="9">
                  <c:v>6250</c:v>
                </c:pt>
                <c:pt idx="10">
                  <c:v>6500</c:v>
                </c:pt>
                <c:pt idx="11">
                  <c:v>6750</c:v>
                </c:pt>
                <c:pt idx="12">
                  <c:v>7000</c:v>
                </c:pt>
                <c:pt idx="13">
                  <c:v>7250</c:v>
                </c:pt>
                <c:pt idx="14">
                  <c:v>7500</c:v>
                </c:pt>
              </c:numCache>
            </c:numRef>
          </c:xVal>
          <c:yVal>
            <c:numRef>
              <c:f>'Final runs'!$C$6:$Q$6</c:f>
              <c:numCache>
                <c:formatCode>0.0</c:formatCode>
                <c:ptCount val="15"/>
                <c:pt idx="0">
                  <c:v>222.00269612912891</c:v>
                </c:pt>
                <c:pt idx="1">
                  <c:v>227.39704465562758</c:v>
                </c:pt>
                <c:pt idx="2">
                  <c:v>222.25984157549846</c:v>
                </c:pt>
                <c:pt idx="3">
                  <c:v>231.90441288070608</c:v>
                </c:pt>
                <c:pt idx="4">
                  <c:v>237.28539106714368</c:v>
                </c:pt>
                <c:pt idx="5">
                  <c:v>256.71142796513732</c:v>
                </c:pt>
                <c:pt idx="6">
                  <c:v>257.28370546311851</c:v>
                </c:pt>
                <c:pt idx="7">
                  <c:v>239.23239645566665</c:v>
                </c:pt>
                <c:pt idx="8">
                  <c:v>244.69419373877969</c:v>
                </c:pt>
                <c:pt idx="9">
                  <c:v>241.07725855930218</c:v>
                </c:pt>
                <c:pt idx="10">
                  <c:v>244.46983074608588</c:v>
                </c:pt>
                <c:pt idx="11">
                  <c:v>246.25816923925785</c:v>
                </c:pt>
                <c:pt idx="12">
                  <c:v>245.96530912649828</c:v>
                </c:pt>
                <c:pt idx="13">
                  <c:v>253.062062334318</c:v>
                </c:pt>
                <c:pt idx="14">
                  <c:v>250.57945357983681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C7-4091-B262-48E7FAE89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78816"/>
        <c:axId val="587981112"/>
      </c:scatterChart>
      <c:valAx>
        <c:axId val="587978816"/>
        <c:scaling>
          <c:orientation val="minMax"/>
          <c:min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Engine 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7981112"/>
        <c:crosses val="autoZero"/>
        <c:crossBetween val="midCat"/>
        <c:minorUnit val="250"/>
      </c:valAx>
      <c:valAx>
        <c:axId val="587981112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BSFC [g/kWh]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7978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runs'!$B$4</c:f>
              <c:strCache>
                <c:ptCount val="1"/>
                <c:pt idx="0">
                  <c:v>POWER DYNO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'Final runs'!$C$2:$Q$2</c:f>
              <c:numCache>
                <c:formatCode>General</c:formatCode>
                <c:ptCount val="15"/>
                <c:pt idx="0">
                  <c:v>4000</c:v>
                </c:pt>
                <c:pt idx="1">
                  <c:v>4250</c:v>
                </c:pt>
                <c:pt idx="2">
                  <c:v>4500</c:v>
                </c:pt>
                <c:pt idx="3">
                  <c:v>4750</c:v>
                </c:pt>
                <c:pt idx="4">
                  <c:v>5000</c:v>
                </c:pt>
                <c:pt idx="5">
                  <c:v>5250</c:v>
                </c:pt>
                <c:pt idx="6">
                  <c:v>5500</c:v>
                </c:pt>
                <c:pt idx="7">
                  <c:v>5750</c:v>
                </c:pt>
                <c:pt idx="8">
                  <c:v>6000</c:v>
                </c:pt>
                <c:pt idx="9">
                  <c:v>6250</c:v>
                </c:pt>
                <c:pt idx="10">
                  <c:v>6500</c:v>
                </c:pt>
                <c:pt idx="11">
                  <c:v>6750</c:v>
                </c:pt>
                <c:pt idx="12">
                  <c:v>7000</c:v>
                </c:pt>
                <c:pt idx="13">
                  <c:v>7250</c:v>
                </c:pt>
                <c:pt idx="14">
                  <c:v>7500</c:v>
                </c:pt>
              </c:numCache>
            </c:numRef>
          </c:xVal>
          <c:yVal>
            <c:numRef>
              <c:f>'Final runs'!$C$4:$Q$4</c:f>
              <c:numCache>
                <c:formatCode>0.0</c:formatCode>
                <c:ptCount val="15"/>
                <c:pt idx="0">
                  <c:v>261.70853333333332</c:v>
                </c:pt>
                <c:pt idx="1">
                  <c:v>281.44605000000001</c:v>
                </c:pt>
                <c:pt idx="2">
                  <c:v>311.89620000000008</c:v>
                </c:pt>
                <c:pt idx="3">
                  <c:v>341.95123333333333</c:v>
                </c:pt>
                <c:pt idx="4">
                  <c:v>374.65433333333334</c:v>
                </c:pt>
                <c:pt idx="5">
                  <c:v>415.64179999999999</c:v>
                </c:pt>
                <c:pt idx="6">
                  <c:v>443.09063333333341</c:v>
                </c:pt>
                <c:pt idx="7">
                  <c:v>460.22195000000005</c:v>
                </c:pt>
                <c:pt idx="8">
                  <c:v>487.95600000000007</c:v>
                </c:pt>
                <c:pt idx="9">
                  <c:v>507.30625000000003</c:v>
                </c:pt>
                <c:pt idx="10">
                  <c:v>524.80913333333331</c:v>
                </c:pt>
                <c:pt idx="11">
                  <c:v>539.27145000000007</c:v>
                </c:pt>
                <c:pt idx="12">
                  <c:v>542.75946666666664</c:v>
                </c:pt>
                <c:pt idx="13">
                  <c:v>541.88288333333344</c:v>
                </c:pt>
                <c:pt idx="14">
                  <c:v>547.93000000000006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39-405D-B100-9A9C82B52B80}"/>
            </c:ext>
          </c:extLst>
        </c:ser>
        <c:ser>
          <c:idx val="1"/>
          <c:order val="1"/>
          <c:tx>
            <c:strRef>
              <c:f>'Final runs'!$B$10</c:f>
              <c:strCache>
                <c:ptCount val="1"/>
                <c:pt idx="0">
                  <c:v>POWER VALL [kW]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'Final runs'!$C$8:$Q$8</c:f>
              <c:numCache>
                <c:formatCode>General</c:formatCode>
                <c:ptCount val="15"/>
                <c:pt idx="0">
                  <c:v>4000</c:v>
                </c:pt>
                <c:pt idx="1">
                  <c:v>4250</c:v>
                </c:pt>
                <c:pt idx="2">
                  <c:v>4500</c:v>
                </c:pt>
                <c:pt idx="3">
                  <c:v>4750</c:v>
                </c:pt>
                <c:pt idx="4">
                  <c:v>5000</c:v>
                </c:pt>
                <c:pt idx="5">
                  <c:v>5250</c:v>
                </c:pt>
                <c:pt idx="6">
                  <c:v>5500</c:v>
                </c:pt>
                <c:pt idx="7">
                  <c:v>5750</c:v>
                </c:pt>
                <c:pt idx="8">
                  <c:v>6000</c:v>
                </c:pt>
                <c:pt idx="9">
                  <c:v>6250</c:v>
                </c:pt>
                <c:pt idx="10">
                  <c:v>6500</c:v>
                </c:pt>
                <c:pt idx="11">
                  <c:v>6750</c:v>
                </c:pt>
                <c:pt idx="12">
                  <c:v>7000</c:v>
                </c:pt>
                <c:pt idx="13">
                  <c:v>7250</c:v>
                </c:pt>
                <c:pt idx="14">
                  <c:v>7500</c:v>
                </c:pt>
              </c:numCache>
            </c:numRef>
          </c:xVal>
          <c:yVal>
            <c:numRef>
              <c:f>'Final runs'!$C$10:$Q$10</c:f>
              <c:numCache>
                <c:formatCode>0.0</c:formatCode>
                <c:ptCount val="15"/>
                <c:pt idx="0">
                  <c:v>264.5136</c:v>
                </c:pt>
                <c:pt idx="1">
                  <c:v>285.4050666666667</c:v>
                </c:pt>
                <c:pt idx="2">
                  <c:v>321.64590000000004</c:v>
                </c:pt>
                <c:pt idx="3">
                  <c:v>349.80646666666667</c:v>
                </c:pt>
                <c:pt idx="4">
                  <c:v>371.67133333333339</c:v>
                </c:pt>
                <c:pt idx="5">
                  <c:v>400.31075000000004</c:v>
                </c:pt>
                <c:pt idx="6">
                  <c:v>440.09716666666674</c:v>
                </c:pt>
                <c:pt idx="7">
                  <c:v>446.25941666666671</c:v>
                </c:pt>
                <c:pt idx="8">
                  <c:v>495.3664</c:v>
                </c:pt>
                <c:pt idx="9">
                  <c:v>488.72791666666677</c:v>
                </c:pt>
                <c:pt idx="10">
                  <c:v>540.3887666666667</c:v>
                </c:pt>
                <c:pt idx="11">
                  <c:v>530.72280000000001</c:v>
                </c:pt>
                <c:pt idx="12">
                  <c:v>537.11793333333333</c:v>
                </c:pt>
                <c:pt idx="13">
                  <c:v>540.44110000000012</c:v>
                </c:pt>
                <c:pt idx="14">
                  <c:v>528.77600000000007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39-405D-B100-9A9C82B52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78816"/>
        <c:axId val="587981112"/>
      </c:scatterChart>
      <c:valAx>
        <c:axId val="587978816"/>
        <c:scaling>
          <c:orientation val="minMax"/>
          <c:min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Engine 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7981112"/>
        <c:crosses val="autoZero"/>
        <c:crossBetween val="midCat"/>
        <c:minorUnit val="250"/>
      </c:valAx>
      <c:valAx>
        <c:axId val="587981112"/>
        <c:scaling>
          <c:orientation val="minMax"/>
          <c:max val="5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Engine Power [kW]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7978816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VAL21T05 Engine Map spec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Run018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'20210513_PIPO_Engine5ADelivery'!$G$19:$V$19</c:f>
              <c:numCache>
                <c:formatCode>0</c:formatCode>
                <c:ptCount val="16"/>
                <c:pt idx="0" formatCode="General">
                  <c:v>3750</c:v>
                </c:pt>
                <c:pt idx="1">
                  <c:v>4000</c:v>
                </c:pt>
                <c:pt idx="2">
                  <c:v>4250</c:v>
                </c:pt>
                <c:pt idx="3">
                  <c:v>4500</c:v>
                </c:pt>
                <c:pt idx="4">
                  <c:v>4750</c:v>
                </c:pt>
                <c:pt idx="5">
                  <c:v>5000</c:v>
                </c:pt>
                <c:pt idx="6">
                  <c:v>5250</c:v>
                </c:pt>
                <c:pt idx="7">
                  <c:v>5500</c:v>
                </c:pt>
                <c:pt idx="8">
                  <c:v>5750</c:v>
                </c:pt>
                <c:pt idx="9">
                  <c:v>6000</c:v>
                </c:pt>
                <c:pt idx="10">
                  <c:v>6250</c:v>
                </c:pt>
                <c:pt idx="11">
                  <c:v>6500</c:v>
                </c:pt>
                <c:pt idx="12">
                  <c:v>6750</c:v>
                </c:pt>
                <c:pt idx="13">
                  <c:v>7000</c:v>
                </c:pt>
                <c:pt idx="14">
                  <c:v>7250</c:v>
                </c:pt>
                <c:pt idx="15">
                  <c:v>7500</c:v>
                </c:pt>
              </c:numCache>
            </c:numRef>
          </c:xVal>
          <c:yVal>
            <c:numRef>
              <c:f>'20210513_PIPO_Engine5ADelivery'!$G$22:$V$22</c:f>
              <c:numCache>
                <c:formatCode>General</c:formatCode>
                <c:ptCount val="16"/>
                <c:pt idx="0">
                  <c:v>603</c:v>
                </c:pt>
                <c:pt idx="1">
                  <c:v>631.70000000000005</c:v>
                </c:pt>
                <c:pt idx="2">
                  <c:v>641.6</c:v>
                </c:pt>
                <c:pt idx="3">
                  <c:v>682.8</c:v>
                </c:pt>
                <c:pt idx="4">
                  <c:v>703.6</c:v>
                </c:pt>
                <c:pt idx="5">
                  <c:v>709.8</c:v>
                </c:pt>
                <c:pt idx="6">
                  <c:v>728.9</c:v>
                </c:pt>
                <c:pt idx="7">
                  <c:v>764.2</c:v>
                </c:pt>
                <c:pt idx="8">
                  <c:v>741.3</c:v>
                </c:pt>
                <c:pt idx="9">
                  <c:v>788.9</c:v>
                </c:pt>
                <c:pt idx="10">
                  <c:v>746.1</c:v>
                </c:pt>
                <c:pt idx="11">
                  <c:v>795.9</c:v>
                </c:pt>
                <c:pt idx="12">
                  <c:v>751.6</c:v>
                </c:pt>
                <c:pt idx="13">
                  <c:v>733</c:v>
                </c:pt>
                <c:pt idx="14">
                  <c:v>712</c:v>
                </c:pt>
                <c:pt idx="15">
                  <c:v>672.7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FF-4106-B0B5-ED076BA56ED1}"/>
            </c:ext>
          </c:extLst>
        </c:ser>
        <c:ser>
          <c:idx val="1"/>
          <c:order val="1"/>
          <c:tx>
            <c:v>Torque 520kW old map Vallelunga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'20210513_PIPO_Engine5ADelivery'!$G$31:$V$31</c:f>
              <c:numCache>
                <c:formatCode>0</c:formatCode>
                <c:ptCount val="16"/>
                <c:pt idx="0" formatCode="General">
                  <c:v>3750</c:v>
                </c:pt>
                <c:pt idx="1">
                  <c:v>4000</c:v>
                </c:pt>
                <c:pt idx="2">
                  <c:v>4250</c:v>
                </c:pt>
                <c:pt idx="3">
                  <c:v>4500</c:v>
                </c:pt>
                <c:pt idx="4">
                  <c:v>4750</c:v>
                </c:pt>
                <c:pt idx="5">
                  <c:v>5000</c:v>
                </c:pt>
                <c:pt idx="6">
                  <c:v>5250</c:v>
                </c:pt>
                <c:pt idx="7">
                  <c:v>5500</c:v>
                </c:pt>
                <c:pt idx="8">
                  <c:v>5750</c:v>
                </c:pt>
                <c:pt idx="9">
                  <c:v>6000</c:v>
                </c:pt>
                <c:pt idx="10">
                  <c:v>6250</c:v>
                </c:pt>
                <c:pt idx="11">
                  <c:v>6500</c:v>
                </c:pt>
                <c:pt idx="12">
                  <c:v>6750</c:v>
                </c:pt>
                <c:pt idx="13">
                  <c:v>7000</c:v>
                </c:pt>
                <c:pt idx="14">
                  <c:v>7250</c:v>
                </c:pt>
                <c:pt idx="15">
                  <c:v>7500</c:v>
                </c:pt>
              </c:numCache>
            </c:numRef>
          </c:xVal>
          <c:yVal>
            <c:numRef>
              <c:f>'20210513_PIPO_Engine5ADelivery'!$G$34:$V$34</c:f>
              <c:numCache>
                <c:formatCode>General</c:formatCode>
                <c:ptCount val="16"/>
                <c:pt idx="0">
                  <c:v>595.29999999999995</c:v>
                </c:pt>
                <c:pt idx="1">
                  <c:v>625.6</c:v>
                </c:pt>
                <c:pt idx="2">
                  <c:v>658.4</c:v>
                </c:pt>
                <c:pt idx="3">
                  <c:v>691.8</c:v>
                </c:pt>
                <c:pt idx="4">
                  <c:v>713.1</c:v>
                </c:pt>
                <c:pt idx="5">
                  <c:v>720.9</c:v>
                </c:pt>
                <c:pt idx="6">
                  <c:v>755.1</c:v>
                </c:pt>
                <c:pt idx="7">
                  <c:v>763.5</c:v>
                </c:pt>
                <c:pt idx="8">
                  <c:v>762.8</c:v>
                </c:pt>
                <c:pt idx="9">
                  <c:v>782.9</c:v>
                </c:pt>
                <c:pt idx="10">
                  <c:v>781.2</c:v>
                </c:pt>
                <c:pt idx="11">
                  <c:v>783.1</c:v>
                </c:pt>
                <c:pt idx="12">
                  <c:v>767.6</c:v>
                </c:pt>
                <c:pt idx="13">
                  <c:v>734.9</c:v>
                </c:pt>
                <c:pt idx="14">
                  <c:v>718.1</c:v>
                </c:pt>
                <c:pt idx="15">
                  <c:v>680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FF-4106-B0B5-ED076BA56ED1}"/>
            </c:ext>
          </c:extLst>
        </c:ser>
        <c:ser>
          <c:idx val="2"/>
          <c:order val="2"/>
          <c:tx>
            <c:v>Power Run018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'20210513_PIPO_Engine5ADelivery'!$G$19:$V$19</c:f>
              <c:numCache>
                <c:formatCode>0</c:formatCode>
                <c:ptCount val="16"/>
                <c:pt idx="0" formatCode="General">
                  <c:v>3750</c:v>
                </c:pt>
                <c:pt idx="1">
                  <c:v>4000</c:v>
                </c:pt>
                <c:pt idx="2">
                  <c:v>4250</c:v>
                </c:pt>
                <c:pt idx="3">
                  <c:v>4500</c:v>
                </c:pt>
                <c:pt idx="4">
                  <c:v>4750</c:v>
                </c:pt>
                <c:pt idx="5">
                  <c:v>5000</c:v>
                </c:pt>
                <c:pt idx="6">
                  <c:v>5250</c:v>
                </c:pt>
                <c:pt idx="7">
                  <c:v>5500</c:v>
                </c:pt>
                <c:pt idx="8">
                  <c:v>5750</c:v>
                </c:pt>
                <c:pt idx="9">
                  <c:v>6000</c:v>
                </c:pt>
                <c:pt idx="10">
                  <c:v>6250</c:v>
                </c:pt>
                <c:pt idx="11">
                  <c:v>6500</c:v>
                </c:pt>
                <c:pt idx="12">
                  <c:v>6750</c:v>
                </c:pt>
                <c:pt idx="13">
                  <c:v>7000</c:v>
                </c:pt>
                <c:pt idx="14">
                  <c:v>7250</c:v>
                </c:pt>
                <c:pt idx="15">
                  <c:v>7500</c:v>
                </c:pt>
              </c:numCache>
            </c:numRef>
          </c:xVal>
          <c:yVal>
            <c:numRef>
              <c:f>'20210513_PIPO_Engine5ADelivery'!$G$23:$V$23</c:f>
              <c:numCache>
                <c:formatCode>0.0</c:formatCode>
                <c:ptCount val="16"/>
                <c:pt idx="0">
                  <c:v>236.67750000000001</c:v>
                </c:pt>
                <c:pt idx="1">
                  <c:v>264.47173333333336</c:v>
                </c:pt>
                <c:pt idx="2">
                  <c:v>285.4050666666667</c:v>
                </c:pt>
                <c:pt idx="3">
                  <c:v>321.59879999999993</c:v>
                </c:pt>
                <c:pt idx="4">
                  <c:v>349.80646666666667</c:v>
                </c:pt>
                <c:pt idx="5">
                  <c:v>371.46199999999999</c:v>
                </c:pt>
                <c:pt idx="6">
                  <c:v>400.53055000000001</c:v>
                </c:pt>
                <c:pt idx="7">
                  <c:v>439.92446666666672</c:v>
                </c:pt>
                <c:pt idx="8">
                  <c:v>446.13904999999994</c:v>
                </c:pt>
                <c:pt idx="9">
                  <c:v>495.42920000000009</c:v>
                </c:pt>
                <c:pt idx="10">
                  <c:v>488.07375000000008</c:v>
                </c:pt>
                <c:pt idx="11">
                  <c:v>541.47730000000001</c:v>
                </c:pt>
                <c:pt idx="12">
                  <c:v>531.00540000000001</c:v>
                </c:pt>
                <c:pt idx="13">
                  <c:v>537.04466666666667</c:v>
                </c:pt>
                <c:pt idx="14">
                  <c:v>540.28933333333339</c:v>
                </c:pt>
                <c:pt idx="15">
                  <c:v>528.06950000000006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FF-4106-B0B5-ED076BA56ED1}"/>
            </c:ext>
          </c:extLst>
        </c:ser>
        <c:ser>
          <c:idx val="3"/>
          <c:order val="3"/>
          <c:tx>
            <c:v>Power 520kW old map Vallelunga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'20210513_PIPO_Engine5ADelivery'!$G$31:$V$31</c:f>
              <c:numCache>
                <c:formatCode>0</c:formatCode>
                <c:ptCount val="16"/>
                <c:pt idx="0" formatCode="General">
                  <c:v>3750</c:v>
                </c:pt>
                <c:pt idx="1">
                  <c:v>4000</c:v>
                </c:pt>
                <c:pt idx="2">
                  <c:v>4250</c:v>
                </c:pt>
                <c:pt idx="3">
                  <c:v>4500</c:v>
                </c:pt>
                <c:pt idx="4">
                  <c:v>4750</c:v>
                </c:pt>
                <c:pt idx="5">
                  <c:v>5000</c:v>
                </c:pt>
                <c:pt idx="6">
                  <c:v>5250</c:v>
                </c:pt>
                <c:pt idx="7">
                  <c:v>5500</c:v>
                </c:pt>
                <c:pt idx="8">
                  <c:v>5750</c:v>
                </c:pt>
                <c:pt idx="9">
                  <c:v>6000</c:v>
                </c:pt>
                <c:pt idx="10">
                  <c:v>6250</c:v>
                </c:pt>
                <c:pt idx="11">
                  <c:v>6500</c:v>
                </c:pt>
                <c:pt idx="12">
                  <c:v>6750</c:v>
                </c:pt>
                <c:pt idx="13">
                  <c:v>7000</c:v>
                </c:pt>
                <c:pt idx="14">
                  <c:v>7250</c:v>
                </c:pt>
                <c:pt idx="15">
                  <c:v>7500</c:v>
                </c:pt>
              </c:numCache>
            </c:numRef>
          </c:xVal>
          <c:yVal>
            <c:numRef>
              <c:f>'20210513_PIPO_Engine5ADelivery'!$G$35:$V$35</c:f>
              <c:numCache>
                <c:formatCode>0.0</c:formatCode>
                <c:ptCount val="16"/>
                <c:pt idx="0">
                  <c:v>233.65525</c:v>
                </c:pt>
                <c:pt idx="1">
                  <c:v>261.91786666666673</c:v>
                </c:pt>
                <c:pt idx="2">
                  <c:v>292.87826666666666</c:v>
                </c:pt>
                <c:pt idx="3">
                  <c:v>325.83780000000002</c:v>
                </c:pt>
                <c:pt idx="4">
                  <c:v>354.52954999999997</c:v>
                </c:pt>
                <c:pt idx="5">
                  <c:v>377.27100000000007</c:v>
                </c:pt>
                <c:pt idx="6">
                  <c:v>414.92745000000002</c:v>
                </c:pt>
                <c:pt idx="7">
                  <c:v>439.5215</c:v>
                </c:pt>
                <c:pt idx="8">
                  <c:v>459.07846666666666</c:v>
                </c:pt>
                <c:pt idx="9">
                  <c:v>491.66120000000001</c:v>
                </c:pt>
                <c:pt idx="10">
                  <c:v>511.03500000000008</c:v>
                </c:pt>
                <c:pt idx="11">
                  <c:v>532.76903333333348</c:v>
                </c:pt>
                <c:pt idx="12">
                  <c:v>542.30939999999998</c:v>
                </c:pt>
                <c:pt idx="13">
                  <c:v>538.43673333333345</c:v>
                </c:pt>
                <c:pt idx="14">
                  <c:v>544.91821666666669</c:v>
                </c:pt>
                <c:pt idx="15">
                  <c:v>533.80000000000007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FF-4106-B0B5-ED076BA56ED1}"/>
            </c:ext>
          </c:extLst>
        </c:ser>
        <c:ser>
          <c:idx val="4"/>
          <c:order val="4"/>
          <c:tx>
            <c:v>bSFC Run018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'20210513_PIPO_Engine5ADelivery'!$G$19:$V$19</c:f>
              <c:numCache>
                <c:formatCode>0</c:formatCode>
                <c:ptCount val="16"/>
                <c:pt idx="0" formatCode="General">
                  <c:v>3750</c:v>
                </c:pt>
                <c:pt idx="1">
                  <c:v>4000</c:v>
                </c:pt>
                <c:pt idx="2">
                  <c:v>4250</c:v>
                </c:pt>
                <c:pt idx="3">
                  <c:v>4500</c:v>
                </c:pt>
                <c:pt idx="4">
                  <c:v>4750</c:v>
                </c:pt>
                <c:pt idx="5">
                  <c:v>5000</c:v>
                </c:pt>
                <c:pt idx="6">
                  <c:v>5250</c:v>
                </c:pt>
                <c:pt idx="7">
                  <c:v>5500</c:v>
                </c:pt>
                <c:pt idx="8">
                  <c:v>5750</c:v>
                </c:pt>
                <c:pt idx="9">
                  <c:v>6000</c:v>
                </c:pt>
                <c:pt idx="10">
                  <c:v>6250</c:v>
                </c:pt>
                <c:pt idx="11">
                  <c:v>6500</c:v>
                </c:pt>
                <c:pt idx="12">
                  <c:v>6750</c:v>
                </c:pt>
                <c:pt idx="13">
                  <c:v>7000</c:v>
                </c:pt>
                <c:pt idx="14">
                  <c:v>7250</c:v>
                </c:pt>
                <c:pt idx="15">
                  <c:v>7500</c:v>
                </c:pt>
              </c:numCache>
            </c:numRef>
          </c:xVal>
          <c:yVal>
            <c:numRef>
              <c:f>'20210513_PIPO_Engine5ADelivery'!$G$24:$V$24</c:f>
              <c:numCache>
                <c:formatCode>0.0</c:formatCode>
                <c:ptCount val="16"/>
                <c:pt idx="0">
                  <c:v>243.53814790168056</c:v>
                </c:pt>
                <c:pt idx="1">
                  <c:v>242.52119193078224</c:v>
                </c:pt>
                <c:pt idx="2">
                  <c:v>243.09309154988136</c:v>
                </c:pt>
                <c:pt idx="3">
                  <c:v>240.20612017209024</c:v>
                </c:pt>
                <c:pt idx="4">
                  <c:v>246.62208455456417</c:v>
                </c:pt>
                <c:pt idx="5">
                  <c:v>250.4697654134205</c:v>
                </c:pt>
                <c:pt idx="6">
                  <c:v>258.98149342166283</c:v>
                </c:pt>
                <c:pt idx="7">
                  <c:v>263.11334960986483</c:v>
                </c:pt>
                <c:pt idx="8">
                  <c:v>269.46755725597211</c:v>
                </c:pt>
                <c:pt idx="9">
                  <c:v>283.30990583518286</c:v>
                </c:pt>
                <c:pt idx="10">
                  <c:v>280.94114875057301</c:v>
                </c:pt>
                <c:pt idx="11">
                  <c:v>289.44888363741194</c:v>
                </c:pt>
                <c:pt idx="12">
                  <c:v>287.94434105566535</c:v>
                </c:pt>
                <c:pt idx="13">
                  <c:v>284.52009578346679</c:v>
                </c:pt>
                <c:pt idx="14">
                  <c:v>285.2175501027844</c:v>
                </c:pt>
                <c:pt idx="15">
                  <c:v>287.67046761837219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FF-4106-B0B5-ED076BA56ED1}"/>
            </c:ext>
          </c:extLst>
        </c:ser>
        <c:ser>
          <c:idx val="5"/>
          <c:order val="5"/>
          <c:tx>
            <c:v>bSFC 520kW old map Vallelunga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'20210513_PIPO_Engine5ADelivery'!$G$31:$V$31</c:f>
              <c:numCache>
                <c:formatCode>0</c:formatCode>
                <c:ptCount val="16"/>
                <c:pt idx="0" formatCode="General">
                  <c:v>3750</c:v>
                </c:pt>
                <c:pt idx="1">
                  <c:v>4000</c:v>
                </c:pt>
                <c:pt idx="2">
                  <c:v>4250</c:v>
                </c:pt>
                <c:pt idx="3">
                  <c:v>4500</c:v>
                </c:pt>
                <c:pt idx="4">
                  <c:v>4750</c:v>
                </c:pt>
                <c:pt idx="5">
                  <c:v>5000</c:v>
                </c:pt>
                <c:pt idx="6">
                  <c:v>5250</c:v>
                </c:pt>
                <c:pt idx="7">
                  <c:v>5500</c:v>
                </c:pt>
                <c:pt idx="8">
                  <c:v>5750</c:v>
                </c:pt>
                <c:pt idx="9">
                  <c:v>6000</c:v>
                </c:pt>
                <c:pt idx="10">
                  <c:v>6250</c:v>
                </c:pt>
                <c:pt idx="11">
                  <c:v>6500</c:v>
                </c:pt>
                <c:pt idx="12">
                  <c:v>6750</c:v>
                </c:pt>
                <c:pt idx="13">
                  <c:v>7000</c:v>
                </c:pt>
                <c:pt idx="14">
                  <c:v>7250</c:v>
                </c:pt>
                <c:pt idx="15">
                  <c:v>7500</c:v>
                </c:pt>
              </c:numCache>
            </c:numRef>
          </c:xVal>
          <c:yVal>
            <c:numRef>
              <c:f>'20210513_PIPO_Engine5ADelivery'!$G$36:$V$36</c:f>
              <c:numCache>
                <c:formatCode>0.0</c:formatCode>
                <c:ptCount val="16"/>
                <c:pt idx="0">
                  <c:v>218.95506306834537</c:v>
                </c:pt>
                <c:pt idx="1">
                  <c:v>220.10716845586194</c:v>
                </c:pt>
                <c:pt idx="2">
                  <c:v>222.01032784041792</c:v>
                </c:pt>
                <c:pt idx="3">
                  <c:v>224.55344346174689</c:v>
                </c:pt>
                <c:pt idx="4">
                  <c:v>232.02579305448589</c:v>
                </c:pt>
                <c:pt idx="5">
                  <c:v>240.30471464809111</c:v>
                </c:pt>
                <c:pt idx="6">
                  <c:v>244.98981689449565</c:v>
                </c:pt>
                <c:pt idx="7">
                  <c:v>248.38375369578051</c:v>
                </c:pt>
                <c:pt idx="8">
                  <c:v>251.32958388958053</c:v>
                </c:pt>
                <c:pt idx="9">
                  <c:v>252.16551560302094</c:v>
                </c:pt>
                <c:pt idx="10">
                  <c:v>250.9612844521412</c:v>
                </c:pt>
                <c:pt idx="11">
                  <c:v>253.58455831172864</c:v>
                </c:pt>
                <c:pt idx="12">
                  <c:v>253.04743012014913</c:v>
                </c:pt>
                <c:pt idx="13">
                  <c:v>253.38167244904409</c:v>
                </c:pt>
                <c:pt idx="14">
                  <c:v>254.46020294238036</c:v>
                </c:pt>
                <c:pt idx="15">
                  <c:v>258.3364556013488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FF-4106-B0B5-ED076BA56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215343"/>
        <c:axId val="1723203695"/>
      </c:scatterChart>
      <c:valAx>
        <c:axId val="1723215343"/>
        <c:scaling>
          <c:orientation val="minMax"/>
          <c:min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203695"/>
        <c:crosses val="autoZero"/>
        <c:crossBetween val="midCat"/>
      </c:valAx>
      <c:valAx>
        <c:axId val="17232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21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VAL21T05 Engine Map spec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Run048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'20210513_PIPO_Engine5ADelivery'!$AE$42:$AS$42</c:f>
              <c:numCache>
                <c:formatCode>General</c:formatCode>
                <c:ptCount val="15"/>
                <c:pt idx="0">
                  <c:v>4000</c:v>
                </c:pt>
                <c:pt idx="1">
                  <c:v>4250</c:v>
                </c:pt>
                <c:pt idx="2">
                  <c:v>4500</c:v>
                </c:pt>
                <c:pt idx="3">
                  <c:v>4750</c:v>
                </c:pt>
                <c:pt idx="4">
                  <c:v>5000</c:v>
                </c:pt>
                <c:pt idx="5">
                  <c:v>5250</c:v>
                </c:pt>
                <c:pt idx="6">
                  <c:v>5500</c:v>
                </c:pt>
                <c:pt idx="7">
                  <c:v>5750</c:v>
                </c:pt>
                <c:pt idx="8">
                  <c:v>6000</c:v>
                </c:pt>
                <c:pt idx="9">
                  <c:v>6250</c:v>
                </c:pt>
                <c:pt idx="10">
                  <c:v>6500</c:v>
                </c:pt>
                <c:pt idx="11">
                  <c:v>6750</c:v>
                </c:pt>
                <c:pt idx="12">
                  <c:v>7000</c:v>
                </c:pt>
                <c:pt idx="13">
                  <c:v>7250</c:v>
                </c:pt>
                <c:pt idx="14">
                  <c:v>7500</c:v>
                </c:pt>
              </c:numCache>
            </c:numRef>
          </c:xVal>
          <c:yVal>
            <c:numRef>
              <c:f>'20210513_PIPO_Engine5ADelivery'!$AE$45:$AS$45</c:f>
              <c:numCache>
                <c:formatCode>0.0</c:formatCode>
                <c:ptCount val="15"/>
                <c:pt idx="0">
                  <c:v>620.6</c:v>
                </c:pt>
                <c:pt idx="1">
                  <c:v>632.1</c:v>
                </c:pt>
                <c:pt idx="2">
                  <c:v>663.45</c:v>
                </c:pt>
                <c:pt idx="3">
                  <c:v>686.7</c:v>
                </c:pt>
                <c:pt idx="4">
                  <c:v>716.6</c:v>
                </c:pt>
                <c:pt idx="5">
                  <c:v>739.2</c:v>
                </c:pt>
                <c:pt idx="6">
                  <c:v>757.4</c:v>
                </c:pt>
                <c:pt idx="7">
                  <c:v>767.95</c:v>
                </c:pt>
                <c:pt idx="8">
                  <c:v>779.5</c:v>
                </c:pt>
                <c:pt idx="9">
                  <c:v>776.3</c:v>
                </c:pt>
                <c:pt idx="10">
                  <c:v>771</c:v>
                </c:pt>
                <c:pt idx="11">
                  <c:v>763.3</c:v>
                </c:pt>
                <c:pt idx="12">
                  <c:v>738.4</c:v>
                </c:pt>
                <c:pt idx="13">
                  <c:v>716.8</c:v>
                </c:pt>
                <c:pt idx="14">
                  <c:v>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81-4292-8D1A-E4FA65CE2889}"/>
            </c:ext>
          </c:extLst>
        </c:ser>
        <c:ser>
          <c:idx val="1"/>
          <c:order val="1"/>
          <c:tx>
            <c:v>Torque 520kW Partial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'20210513_PIPO_Engine5ADelivery'!$AA$31:$AS$31</c:f>
              <c:numCache>
                <c:formatCode>General</c:formatCode>
                <c:ptCount val="19"/>
                <c:pt idx="0">
                  <c:v>3000</c:v>
                </c:pt>
                <c:pt idx="1">
                  <c:v>3250</c:v>
                </c:pt>
                <c:pt idx="2">
                  <c:v>3500</c:v>
                </c:pt>
                <c:pt idx="3">
                  <c:v>3750</c:v>
                </c:pt>
                <c:pt idx="4">
                  <c:v>4000</c:v>
                </c:pt>
                <c:pt idx="5">
                  <c:v>4250</c:v>
                </c:pt>
                <c:pt idx="6">
                  <c:v>4500</c:v>
                </c:pt>
                <c:pt idx="7">
                  <c:v>4750</c:v>
                </c:pt>
                <c:pt idx="8">
                  <c:v>5000</c:v>
                </c:pt>
                <c:pt idx="9">
                  <c:v>5250</c:v>
                </c:pt>
                <c:pt idx="10">
                  <c:v>5500</c:v>
                </c:pt>
                <c:pt idx="11">
                  <c:v>5750</c:v>
                </c:pt>
                <c:pt idx="12">
                  <c:v>6000</c:v>
                </c:pt>
                <c:pt idx="13">
                  <c:v>6250</c:v>
                </c:pt>
                <c:pt idx="14">
                  <c:v>6500</c:v>
                </c:pt>
                <c:pt idx="15">
                  <c:v>6750</c:v>
                </c:pt>
                <c:pt idx="16">
                  <c:v>7000</c:v>
                </c:pt>
                <c:pt idx="17">
                  <c:v>7250</c:v>
                </c:pt>
                <c:pt idx="18">
                  <c:v>7500</c:v>
                </c:pt>
              </c:numCache>
            </c:numRef>
          </c:xVal>
          <c:yVal>
            <c:numRef>
              <c:f>'20210513_PIPO_Engine5ADelivery'!$AA$34:$AS$34</c:f>
              <c:numCache>
                <c:formatCode>0.0</c:formatCode>
                <c:ptCount val="19"/>
                <c:pt idx="0">
                  <c:v>531.79999999999995</c:v>
                </c:pt>
                <c:pt idx="1">
                  <c:v>538.6</c:v>
                </c:pt>
                <c:pt idx="2">
                  <c:v>552.20000000000005</c:v>
                </c:pt>
                <c:pt idx="3">
                  <c:v>588.5</c:v>
                </c:pt>
                <c:pt idx="4">
                  <c:v>629</c:v>
                </c:pt>
                <c:pt idx="5">
                  <c:v>635.79999999999995</c:v>
                </c:pt>
                <c:pt idx="6">
                  <c:v>671.4</c:v>
                </c:pt>
                <c:pt idx="7">
                  <c:v>692.1</c:v>
                </c:pt>
                <c:pt idx="8">
                  <c:v>717.5</c:v>
                </c:pt>
                <c:pt idx="9">
                  <c:v>739.7</c:v>
                </c:pt>
                <c:pt idx="10">
                  <c:v>759.3</c:v>
                </c:pt>
                <c:pt idx="11">
                  <c:v>770</c:v>
                </c:pt>
                <c:pt idx="12">
                  <c:v>775.8</c:v>
                </c:pt>
                <c:pt idx="13">
                  <c:v>775.2</c:v>
                </c:pt>
                <c:pt idx="14">
                  <c:v>768.8</c:v>
                </c:pt>
                <c:pt idx="15">
                  <c:v>764.3</c:v>
                </c:pt>
                <c:pt idx="16">
                  <c:v>740.2</c:v>
                </c:pt>
                <c:pt idx="17">
                  <c:v>717.5</c:v>
                </c:pt>
                <c:pt idx="18">
                  <c:v>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81-4292-8D1A-E4FA65CE2889}"/>
            </c:ext>
          </c:extLst>
        </c:ser>
        <c:ser>
          <c:idx val="2"/>
          <c:order val="2"/>
          <c:tx>
            <c:v>Power Run048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'20210513_PIPO_Engine5ADelivery'!$AE$42:$AS$42</c:f>
              <c:numCache>
                <c:formatCode>General</c:formatCode>
                <c:ptCount val="15"/>
                <c:pt idx="0">
                  <c:v>4000</c:v>
                </c:pt>
                <c:pt idx="1">
                  <c:v>4250</c:v>
                </c:pt>
                <c:pt idx="2">
                  <c:v>4500</c:v>
                </c:pt>
                <c:pt idx="3">
                  <c:v>4750</c:v>
                </c:pt>
                <c:pt idx="4">
                  <c:v>5000</c:v>
                </c:pt>
                <c:pt idx="5">
                  <c:v>5250</c:v>
                </c:pt>
                <c:pt idx="6">
                  <c:v>5500</c:v>
                </c:pt>
                <c:pt idx="7">
                  <c:v>5750</c:v>
                </c:pt>
                <c:pt idx="8">
                  <c:v>6000</c:v>
                </c:pt>
                <c:pt idx="9">
                  <c:v>6250</c:v>
                </c:pt>
                <c:pt idx="10">
                  <c:v>6500</c:v>
                </c:pt>
                <c:pt idx="11">
                  <c:v>6750</c:v>
                </c:pt>
                <c:pt idx="12">
                  <c:v>7000</c:v>
                </c:pt>
                <c:pt idx="13">
                  <c:v>7250</c:v>
                </c:pt>
                <c:pt idx="14">
                  <c:v>7500</c:v>
                </c:pt>
              </c:numCache>
            </c:numRef>
          </c:xVal>
          <c:yVal>
            <c:numRef>
              <c:f>'20210513_PIPO_Engine5ADelivery'!$AE$46:$AS$46</c:f>
              <c:numCache>
                <c:formatCode>0.0</c:formatCode>
                <c:ptCount val="15"/>
                <c:pt idx="0">
                  <c:v>259.82453333333336</c:v>
                </c:pt>
                <c:pt idx="1">
                  <c:v>281.17915000000005</c:v>
                </c:pt>
                <c:pt idx="2">
                  <c:v>312.48495000000003</c:v>
                </c:pt>
                <c:pt idx="3">
                  <c:v>341.40435000000002</c:v>
                </c:pt>
                <c:pt idx="4">
                  <c:v>375.02066666666673</c:v>
                </c:pt>
                <c:pt idx="5">
                  <c:v>406.19040000000007</c:v>
                </c:pt>
                <c:pt idx="6">
                  <c:v>436.00993333333332</c:v>
                </c:pt>
                <c:pt idx="7">
                  <c:v>462.17790833333339</c:v>
                </c:pt>
                <c:pt idx="8">
                  <c:v>489.52600000000001</c:v>
                </c:pt>
                <c:pt idx="9">
                  <c:v>507.82958333333329</c:v>
                </c:pt>
                <c:pt idx="10">
                  <c:v>524.53700000000003</c:v>
                </c:pt>
                <c:pt idx="11">
                  <c:v>539.27145000000007</c:v>
                </c:pt>
                <c:pt idx="12">
                  <c:v>541.0010666666667</c:v>
                </c:pt>
                <c:pt idx="13">
                  <c:v>543.93173333333323</c:v>
                </c:pt>
                <c:pt idx="14">
                  <c:v>548.71500000000015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81-4292-8D1A-E4FA65CE2889}"/>
            </c:ext>
          </c:extLst>
        </c:ser>
        <c:ser>
          <c:idx val="3"/>
          <c:order val="3"/>
          <c:tx>
            <c:v>Power 520kW Partial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'20210513_PIPO_Engine5ADelivery'!$AA$31:$AS$31</c:f>
              <c:numCache>
                <c:formatCode>General</c:formatCode>
                <c:ptCount val="19"/>
                <c:pt idx="0">
                  <c:v>3000</c:v>
                </c:pt>
                <c:pt idx="1">
                  <c:v>3250</c:v>
                </c:pt>
                <c:pt idx="2">
                  <c:v>3500</c:v>
                </c:pt>
                <c:pt idx="3">
                  <c:v>3750</c:v>
                </c:pt>
                <c:pt idx="4">
                  <c:v>4000</c:v>
                </c:pt>
                <c:pt idx="5">
                  <c:v>4250</c:v>
                </c:pt>
                <c:pt idx="6">
                  <c:v>4500</c:v>
                </c:pt>
                <c:pt idx="7">
                  <c:v>4750</c:v>
                </c:pt>
                <c:pt idx="8">
                  <c:v>5000</c:v>
                </c:pt>
                <c:pt idx="9">
                  <c:v>5250</c:v>
                </c:pt>
                <c:pt idx="10">
                  <c:v>5500</c:v>
                </c:pt>
                <c:pt idx="11">
                  <c:v>5750</c:v>
                </c:pt>
                <c:pt idx="12">
                  <c:v>6000</c:v>
                </c:pt>
                <c:pt idx="13">
                  <c:v>6250</c:v>
                </c:pt>
                <c:pt idx="14">
                  <c:v>6500</c:v>
                </c:pt>
                <c:pt idx="15">
                  <c:v>6750</c:v>
                </c:pt>
                <c:pt idx="16">
                  <c:v>7000</c:v>
                </c:pt>
                <c:pt idx="17">
                  <c:v>7250</c:v>
                </c:pt>
                <c:pt idx="18">
                  <c:v>7500</c:v>
                </c:pt>
              </c:numCache>
            </c:numRef>
          </c:xVal>
          <c:yVal>
            <c:numRef>
              <c:f>'20210513_PIPO_Engine5ADelivery'!$AA$35:$AS$35</c:f>
              <c:numCache>
                <c:formatCode>0.0</c:formatCode>
                <c:ptCount val="19"/>
                <c:pt idx="0">
                  <c:v>166.98520000000002</c:v>
                </c:pt>
                <c:pt idx="1">
                  <c:v>183.21376666666669</c:v>
                </c:pt>
                <c:pt idx="2">
                  <c:v>202.28926666666666</c:v>
                </c:pt>
                <c:pt idx="3">
                  <c:v>230.98625000000001</c:v>
                </c:pt>
                <c:pt idx="4">
                  <c:v>263.34133333333335</c:v>
                </c:pt>
                <c:pt idx="5">
                  <c:v>282.82503333333335</c:v>
                </c:pt>
                <c:pt idx="6">
                  <c:v>316.2294</c:v>
                </c:pt>
                <c:pt idx="7">
                  <c:v>344.08904999999999</c:v>
                </c:pt>
                <c:pt idx="8">
                  <c:v>375.49166666666673</c:v>
                </c:pt>
                <c:pt idx="9">
                  <c:v>406.46515000000011</c:v>
                </c:pt>
                <c:pt idx="10">
                  <c:v>437.10369999999995</c:v>
                </c:pt>
                <c:pt idx="11">
                  <c:v>463.41166666666675</c:v>
                </c:pt>
                <c:pt idx="12">
                  <c:v>487.20240000000007</c:v>
                </c:pt>
                <c:pt idx="13">
                  <c:v>507.11000000000007</c:v>
                </c:pt>
                <c:pt idx="14">
                  <c:v>523.04026666666675</c:v>
                </c:pt>
                <c:pt idx="15">
                  <c:v>539.97794999999996</c:v>
                </c:pt>
                <c:pt idx="16">
                  <c:v>542.31986666666671</c:v>
                </c:pt>
                <c:pt idx="17">
                  <c:v>544.46291666666673</c:v>
                </c:pt>
                <c:pt idx="18">
                  <c:v>548.71500000000015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81-4292-8D1A-E4FA65CE2889}"/>
            </c:ext>
          </c:extLst>
        </c:ser>
        <c:ser>
          <c:idx val="4"/>
          <c:order val="4"/>
          <c:tx>
            <c:v>bSFC Run048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'20210513_PIPO_Engine5ADelivery'!$AE$42:$AS$42</c:f>
              <c:numCache>
                <c:formatCode>General</c:formatCode>
                <c:ptCount val="15"/>
                <c:pt idx="0">
                  <c:v>4000</c:v>
                </c:pt>
                <c:pt idx="1">
                  <c:v>4250</c:v>
                </c:pt>
                <c:pt idx="2">
                  <c:v>4500</c:v>
                </c:pt>
                <c:pt idx="3">
                  <c:v>4750</c:v>
                </c:pt>
                <c:pt idx="4">
                  <c:v>5000</c:v>
                </c:pt>
                <c:pt idx="5">
                  <c:v>5250</c:v>
                </c:pt>
                <c:pt idx="6">
                  <c:v>5500</c:v>
                </c:pt>
                <c:pt idx="7">
                  <c:v>5750</c:v>
                </c:pt>
                <c:pt idx="8">
                  <c:v>6000</c:v>
                </c:pt>
                <c:pt idx="9">
                  <c:v>6250</c:v>
                </c:pt>
                <c:pt idx="10">
                  <c:v>6500</c:v>
                </c:pt>
                <c:pt idx="11">
                  <c:v>6750</c:v>
                </c:pt>
                <c:pt idx="12">
                  <c:v>7000</c:v>
                </c:pt>
                <c:pt idx="13">
                  <c:v>7250</c:v>
                </c:pt>
                <c:pt idx="14">
                  <c:v>7500</c:v>
                </c:pt>
              </c:numCache>
            </c:numRef>
          </c:xVal>
          <c:yVal>
            <c:numRef>
              <c:f>'20210513_PIPO_Engine5ADelivery'!$AE$47:$AS$47</c:f>
              <c:numCache>
                <c:formatCode>0.0</c:formatCode>
                <c:ptCount val="15"/>
                <c:pt idx="0">
                  <c:v>223.30069934376223</c:v>
                </c:pt>
                <c:pt idx="1">
                  <c:v>227.39950668461722</c:v>
                </c:pt>
                <c:pt idx="2">
                  <c:v>223.19154890499524</c:v>
                </c:pt>
                <c:pt idx="3">
                  <c:v>231.71936737185683</c:v>
                </c:pt>
                <c:pt idx="4">
                  <c:v>236.86427947970864</c:v>
                </c:pt>
                <c:pt idx="5">
                  <c:v>240.92149888328228</c:v>
                </c:pt>
                <c:pt idx="6">
                  <c:v>241.95779025829535</c:v>
                </c:pt>
                <c:pt idx="7">
                  <c:v>241.23610841128294</c:v>
                </c:pt>
                <c:pt idx="8">
                  <c:v>243.16992355870781</c:v>
                </c:pt>
                <c:pt idx="9">
                  <c:v>242.75269508882164</c:v>
                </c:pt>
                <c:pt idx="10">
                  <c:v>244.99320352997026</c:v>
                </c:pt>
                <c:pt idx="11">
                  <c:v>245.74822197614947</c:v>
                </c:pt>
                <c:pt idx="12">
                  <c:v>248.1880503994077</c:v>
                </c:pt>
                <c:pt idx="13">
                  <c:v>247.65975534184687</c:v>
                </c:pt>
                <c:pt idx="14">
                  <c:v>250.49433676863211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81-4292-8D1A-E4FA65CE2889}"/>
            </c:ext>
          </c:extLst>
        </c:ser>
        <c:ser>
          <c:idx val="5"/>
          <c:order val="5"/>
          <c:tx>
            <c:v>bSFC 520kW Partial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'20210513_PIPO_Engine5ADelivery'!$AA$31:$AS$31</c:f>
              <c:numCache>
                <c:formatCode>General</c:formatCode>
                <c:ptCount val="19"/>
                <c:pt idx="0">
                  <c:v>3000</c:v>
                </c:pt>
                <c:pt idx="1">
                  <c:v>3250</c:v>
                </c:pt>
                <c:pt idx="2">
                  <c:v>3500</c:v>
                </c:pt>
                <c:pt idx="3">
                  <c:v>3750</c:v>
                </c:pt>
                <c:pt idx="4">
                  <c:v>4000</c:v>
                </c:pt>
                <c:pt idx="5">
                  <c:v>4250</c:v>
                </c:pt>
                <c:pt idx="6">
                  <c:v>4500</c:v>
                </c:pt>
                <c:pt idx="7">
                  <c:v>4750</c:v>
                </c:pt>
                <c:pt idx="8">
                  <c:v>5000</c:v>
                </c:pt>
                <c:pt idx="9">
                  <c:v>5250</c:v>
                </c:pt>
                <c:pt idx="10">
                  <c:v>5500</c:v>
                </c:pt>
                <c:pt idx="11">
                  <c:v>5750</c:v>
                </c:pt>
                <c:pt idx="12">
                  <c:v>6000</c:v>
                </c:pt>
                <c:pt idx="13">
                  <c:v>6250</c:v>
                </c:pt>
                <c:pt idx="14">
                  <c:v>6500</c:v>
                </c:pt>
                <c:pt idx="15">
                  <c:v>6750</c:v>
                </c:pt>
                <c:pt idx="16">
                  <c:v>7000</c:v>
                </c:pt>
                <c:pt idx="17">
                  <c:v>7250</c:v>
                </c:pt>
                <c:pt idx="18">
                  <c:v>7500</c:v>
                </c:pt>
              </c:numCache>
            </c:numRef>
          </c:xVal>
          <c:yVal>
            <c:numRef>
              <c:f>'20210513_PIPO_Engine5ADelivery'!$AA$36:$AS$36</c:f>
              <c:numCache>
                <c:formatCode>0.0</c:formatCode>
                <c:ptCount val="19"/>
                <c:pt idx="0">
                  <c:v>222.25921818221013</c:v>
                </c:pt>
                <c:pt idx="1">
                  <c:v>218.60256862066223</c:v>
                </c:pt>
                <c:pt idx="2">
                  <c:v>217.51030455067809</c:v>
                </c:pt>
                <c:pt idx="3">
                  <c:v>216.49773525480413</c:v>
                </c:pt>
                <c:pt idx="4">
                  <c:v>216.35798406124368</c:v>
                </c:pt>
                <c:pt idx="5">
                  <c:v>220.09013582131047</c:v>
                </c:pt>
                <c:pt idx="6">
                  <c:v>220.43174986259976</c:v>
                </c:pt>
                <c:pt idx="7">
                  <c:v>224.85167720390987</c:v>
                </c:pt>
                <c:pt idx="8">
                  <c:v>231.08102709780505</c:v>
                </c:pt>
                <c:pt idx="9">
                  <c:v>233.365640326114</c:v>
                </c:pt>
                <c:pt idx="10">
                  <c:v>233.57386359346768</c:v>
                </c:pt>
                <c:pt idx="11">
                  <c:v>235.18829550399749</c:v>
                </c:pt>
                <c:pt idx="12">
                  <c:v>232.53374778120957</c:v>
                </c:pt>
                <c:pt idx="13">
                  <c:v>234.89972589773419</c:v>
                </c:pt>
                <c:pt idx="14">
                  <c:v>237.5476763803016</c:v>
                </c:pt>
                <c:pt idx="15">
                  <c:v>239.24680628162685</c:v>
                </c:pt>
                <c:pt idx="16">
                  <c:v>242.20761228490244</c:v>
                </c:pt>
                <c:pt idx="17">
                  <c:v>242.25341334082285</c:v>
                </c:pt>
                <c:pt idx="18">
                  <c:v>245.3641690130577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81-4292-8D1A-E4FA65CE2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215343"/>
        <c:axId val="1723203695"/>
      </c:scatterChart>
      <c:valAx>
        <c:axId val="1723215343"/>
        <c:scaling>
          <c:orientation val="minMax"/>
          <c:min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203695"/>
        <c:crosses val="autoZero"/>
        <c:crossBetween val="midCat"/>
      </c:valAx>
      <c:valAx>
        <c:axId val="17232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21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13</xdr:row>
      <xdr:rowOff>80961</xdr:rowOff>
    </xdr:from>
    <xdr:to>
      <xdr:col>13</xdr:col>
      <xdr:colOff>219075</xdr:colOff>
      <xdr:row>34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23ECA-180C-4C7D-BCC1-EEC976027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13</xdr:row>
      <xdr:rowOff>95250</xdr:rowOff>
    </xdr:from>
    <xdr:to>
      <xdr:col>29</xdr:col>
      <xdr:colOff>428625</xdr:colOff>
      <xdr:row>34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1F2C6-F6F6-4E93-B46E-E6CAF4B6E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20410</xdr:colOff>
      <xdr:row>38</xdr:row>
      <xdr:rowOff>84363</xdr:rowOff>
    </xdr:from>
    <xdr:to>
      <xdr:col>22</xdr:col>
      <xdr:colOff>190500</xdr:colOff>
      <xdr:row>94</xdr:row>
      <xdr:rowOff>56852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BCFA8-B885-497C-A8D6-F15A78904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47625</xdr:colOff>
      <xdr:row>69</xdr:row>
      <xdr:rowOff>166688</xdr:rowOff>
    </xdr:from>
    <xdr:to>
      <xdr:col>42</xdr:col>
      <xdr:colOff>598716</xdr:colOff>
      <xdr:row>125</xdr:row>
      <xdr:rowOff>139177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A0A1D0-279E-438E-9080-E713952E0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RaceEngineering\16%20Simulations\20210510_Canopy_FuelConsumption_refinement\Canopy_dMFuel_maps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opy_dmFuelMaps"/>
      <sheetName val="PreVSPost-Bancage"/>
      <sheetName val="WD_Maps and simulations(INTERP)"/>
      <sheetName val="FuelConsumption_VAL21T05"/>
      <sheetName val="20210513_PIPO_Engine5ADelivery"/>
    </sheetNames>
    <sheetDataSet>
      <sheetData sheetId="0"/>
      <sheetData sheetId="1"/>
      <sheetData sheetId="2"/>
      <sheetData sheetId="3"/>
      <sheetData sheetId="4">
        <row r="19">
          <cell r="G19">
            <v>3750</v>
          </cell>
          <cell r="H19">
            <v>4000</v>
          </cell>
          <cell r="I19">
            <v>4250</v>
          </cell>
          <cell r="J19">
            <v>4500</v>
          </cell>
          <cell r="K19">
            <v>4750</v>
          </cell>
          <cell r="L19">
            <v>5000</v>
          </cell>
          <cell r="M19">
            <v>5250</v>
          </cell>
          <cell r="N19">
            <v>5500</v>
          </cell>
          <cell r="O19">
            <v>5750</v>
          </cell>
          <cell r="P19">
            <v>6000</v>
          </cell>
          <cell r="Q19">
            <v>6250</v>
          </cell>
          <cell r="R19">
            <v>6500</v>
          </cell>
          <cell r="S19">
            <v>6750</v>
          </cell>
          <cell r="T19">
            <v>7000</v>
          </cell>
          <cell r="U19">
            <v>7250</v>
          </cell>
          <cell r="V19">
            <v>7500</v>
          </cell>
        </row>
        <row r="22">
          <cell r="G22">
            <v>603</v>
          </cell>
          <cell r="H22">
            <v>631.70000000000005</v>
          </cell>
          <cell r="I22">
            <v>641.6</v>
          </cell>
          <cell r="J22">
            <v>682.8</v>
          </cell>
          <cell r="K22">
            <v>703.6</v>
          </cell>
          <cell r="L22">
            <v>709.8</v>
          </cell>
          <cell r="M22">
            <v>728.9</v>
          </cell>
          <cell r="N22">
            <v>764.2</v>
          </cell>
          <cell r="O22">
            <v>741.3</v>
          </cell>
          <cell r="P22">
            <v>788.9</v>
          </cell>
          <cell r="Q22">
            <v>746.1</v>
          </cell>
          <cell r="R22">
            <v>795.9</v>
          </cell>
          <cell r="S22">
            <v>751.6</v>
          </cell>
          <cell r="T22">
            <v>733</v>
          </cell>
          <cell r="U22">
            <v>712</v>
          </cell>
          <cell r="V22">
            <v>672.7</v>
          </cell>
        </row>
        <row r="23">
          <cell r="G23">
            <v>236.67750000000001</v>
          </cell>
          <cell r="H23">
            <v>264.47173333333336</v>
          </cell>
          <cell r="I23">
            <v>285.4050666666667</v>
          </cell>
          <cell r="J23">
            <v>321.59879999999993</v>
          </cell>
          <cell r="K23">
            <v>349.80646666666667</v>
          </cell>
          <cell r="L23">
            <v>371.46199999999999</v>
          </cell>
          <cell r="M23">
            <v>400.53055000000001</v>
          </cell>
          <cell r="N23">
            <v>439.92446666666672</v>
          </cell>
          <cell r="O23">
            <v>446.13904999999994</v>
          </cell>
          <cell r="P23">
            <v>495.42920000000009</v>
          </cell>
          <cell r="Q23">
            <v>488.07375000000008</v>
          </cell>
          <cell r="R23">
            <v>541.47730000000001</v>
          </cell>
          <cell r="S23">
            <v>531.00540000000001</v>
          </cell>
          <cell r="T23">
            <v>537.04466666666667</v>
          </cell>
          <cell r="U23">
            <v>540.28933333333339</v>
          </cell>
          <cell r="V23">
            <v>528.06950000000006</v>
          </cell>
        </row>
        <row r="24">
          <cell r="G24">
            <v>243.53814790168056</v>
          </cell>
          <cell r="H24">
            <v>242.52119193078224</v>
          </cell>
          <cell r="I24">
            <v>243.09309154988136</v>
          </cell>
          <cell r="J24">
            <v>240.20612017209024</v>
          </cell>
          <cell r="K24">
            <v>246.62208455456417</v>
          </cell>
          <cell r="L24">
            <v>250.4697654134205</v>
          </cell>
          <cell r="M24">
            <v>258.98149342166283</v>
          </cell>
          <cell r="N24">
            <v>263.11334960986483</v>
          </cell>
          <cell r="O24">
            <v>269.46755725597211</v>
          </cell>
          <cell r="P24">
            <v>283.30990583518286</v>
          </cell>
          <cell r="Q24">
            <v>280.94114875057301</v>
          </cell>
          <cell r="R24">
            <v>289.44888363741194</v>
          </cell>
          <cell r="S24">
            <v>287.94434105566535</v>
          </cell>
          <cell r="T24">
            <v>284.52009578346679</v>
          </cell>
          <cell r="U24">
            <v>285.2175501027844</v>
          </cell>
          <cell r="V24">
            <v>287.67046761837219</v>
          </cell>
        </row>
        <row r="31">
          <cell r="G31">
            <v>3750</v>
          </cell>
          <cell r="H31">
            <v>4000</v>
          </cell>
          <cell r="I31">
            <v>4250</v>
          </cell>
          <cell r="J31">
            <v>4500</v>
          </cell>
          <cell r="K31">
            <v>4750</v>
          </cell>
          <cell r="L31">
            <v>5000</v>
          </cell>
          <cell r="M31">
            <v>5250</v>
          </cell>
          <cell r="N31">
            <v>5500</v>
          </cell>
          <cell r="O31">
            <v>5750</v>
          </cell>
          <cell r="P31">
            <v>6000</v>
          </cell>
          <cell r="Q31">
            <v>6250</v>
          </cell>
          <cell r="R31">
            <v>6500</v>
          </cell>
          <cell r="S31">
            <v>6750</v>
          </cell>
          <cell r="T31">
            <v>7000</v>
          </cell>
          <cell r="U31">
            <v>7250</v>
          </cell>
          <cell r="V31">
            <v>7500</v>
          </cell>
          <cell r="AA31">
            <v>3000</v>
          </cell>
          <cell r="AB31">
            <v>3250</v>
          </cell>
          <cell r="AC31">
            <v>3500</v>
          </cell>
          <cell r="AD31">
            <v>3750</v>
          </cell>
          <cell r="AE31">
            <v>4000</v>
          </cell>
          <cell r="AF31">
            <v>4250</v>
          </cell>
          <cell r="AG31">
            <v>4500</v>
          </cell>
          <cell r="AH31">
            <v>4750</v>
          </cell>
          <cell r="AI31">
            <v>5000</v>
          </cell>
          <cell r="AJ31">
            <v>5250</v>
          </cell>
          <cell r="AK31">
            <v>5500</v>
          </cell>
          <cell r="AL31">
            <v>5750</v>
          </cell>
          <cell r="AM31">
            <v>6000</v>
          </cell>
          <cell r="AN31">
            <v>6250</v>
          </cell>
          <cell r="AO31">
            <v>6500</v>
          </cell>
          <cell r="AP31">
            <v>6750</v>
          </cell>
          <cell r="AQ31">
            <v>7000</v>
          </cell>
          <cell r="AR31">
            <v>7250</v>
          </cell>
          <cell r="AS31">
            <v>7500</v>
          </cell>
        </row>
        <row r="34">
          <cell r="G34">
            <v>595.29999999999995</v>
          </cell>
          <cell r="H34">
            <v>625.6</v>
          </cell>
          <cell r="I34">
            <v>658.4</v>
          </cell>
          <cell r="J34">
            <v>691.8</v>
          </cell>
          <cell r="K34">
            <v>713.1</v>
          </cell>
          <cell r="L34">
            <v>720.9</v>
          </cell>
          <cell r="M34">
            <v>755.1</v>
          </cell>
          <cell r="N34">
            <v>763.5</v>
          </cell>
          <cell r="O34">
            <v>762.8</v>
          </cell>
          <cell r="P34">
            <v>782.9</v>
          </cell>
          <cell r="Q34">
            <v>781.2</v>
          </cell>
          <cell r="R34">
            <v>783.1</v>
          </cell>
          <cell r="S34">
            <v>767.6</v>
          </cell>
          <cell r="T34">
            <v>734.9</v>
          </cell>
          <cell r="U34">
            <v>718.1</v>
          </cell>
          <cell r="V34">
            <v>680</v>
          </cell>
          <cell r="AA34">
            <v>531.79999999999995</v>
          </cell>
          <cell r="AB34">
            <v>538.6</v>
          </cell>
          <cell r="AC34">
            <v>552.20000000000005</v>
          </cell>
          <cell r="AD34">
            <v>588.5</v>
          </cell>
          <cell r="AE34">
            <v>629</v>
          </cell>
          <cell r="AF34">
            <v>635.79999999999995</v>
          </cell>
          <cell r="AG34">
            <v>671.4</v>
          </cell>
          <cell r="AH34">
            <v>692.1</v>
          </cell>
          <cell r="AI34">
            <v>717.5</v>
          </cell>
          <cell r="AJ34">
            <v>739.7</v>
          </cell>
          <cell r="AK34">
            <v>759.3</v>
          </cell>
          <cell r="AL34">
            <v>770</v>
          </cell>
          <cell r="AM34">
            <v>775.8</v>
          </cell>
          <cell r="AN34">
            <v>775.2</v>
          </cell>
          <cell r="AO34">
            <v>768.8</v>
          </cell>
          <cell r="AP34">
            <v>764.3</v>
          </cell>
          <cell r="AQ34">
            <v>740.2</v>
          </cell>
          <cell r="AR34">
            <v>717.5</v>
          </cell>
          <cell r="AS34">
            <v>699</v>
          </cell>
        </row>
        <row r="35">
          <cell r="G35">
            <v>233.65525</v>
          </cell>
          <cell r="H35">
            <v>261.91786666666673</v>
          </cell>
          <cell r="I35">
            <v>292.87826666666666</v>
          </cell>
          <cell r="J35">
            <v>325.83780000000002</v>
          </cell>
          <cell r="K35">
            <v>354.52954999999997</v>
          </cell>
          <cell r="L35">
            <v>377.27100000000007</v>
          </cell>
          <cell r="M35">
            <v>414.92745000000002</v>
          </cell>
          <cell r="N35">
            <v>439.5215</v>
          </cell>
          <cell r="O35">
            <v>459.07846666666666</v>
          </cell>
          <cell r="P35">
            <v>491.66120000000001</v>
          </cell>
          <cell r="Q35">
            <v>511.03500000000008</v>
          </cell>
          <cell r="R35">
            <v>532.76903333333348</v>
          </cell>
          <cell r="S35">
            <v>542.30939999999998</v>
          </cell>
          <cell r="T35">
            <v>538.43673333333345</v>
          </cell>
          <cell r="U35">
            <v>544.91821666666669</v>
          </cell>
          <cell r="V35">
            <v>533.80000000000007</v>
          </cell>
          <cell r="AA35">
            <v>166.98520000000002</v>
          </cell>
          <cell r="AB35">
            <v>183.21376666666669</v>
          </cell>
          <cell r="AC35">
            <v>202.28926666666666</v>
          </cell>
          <cell r="AD35">
            <v>230.98625000000001</v>
          </cell>
          <cell r="AE35">
            <v>263.34133333333335</v>
          </cell>
          <cell r="AF35">
            <v>282.82503333333335</v>
          </cell>
          <cell r="AG35">
            <v>316.2294</v>
          </cell>
          <cell r="AH35">
            <v>344.08904999999999</v>
          </cell>
          <cell r="AI35">
            <v>375.49166666666673</v>
          </cell>
          <cell r="AJ35">
            <v>406.46515000000011</v>
          </cell>
          <cell r="AK35">
            <v>437.10369999999995</v>
          </cell>
          <cell r="AL35">
            <v>463.41166666666675</v>
          </cell>
          <cell r="AM35">
            <v>487.20240000000007</v>
          </cell>
          <cell r="AN35">
            <v>507.11000000000007</v>
          </cell>
          <cell r="AO35">
            <v>523.04026666666675</v>
          </cell>
          <cell r="AP35">
            <v>539.97794999999996</v>
          </cell>
          <cell r="AQ35">
            <v>542.31986666666671</v>
          </cell>
          <cell r="AR35">
            <v>544.46291666666673</v>
          </cell>
          <cell r="AS35">
            <v>548.71500000000015</v>
          </cell>
        </row>
        <row r="36">
          <cell r="G36">
            <v>218.95506306834537</v>
          </cell>
          <cell r="H36">
            <v>220.10716845586194</v>
          </cell>
          <cell r="I36">
            <v>222.01032784041792</v>
          </cell>
          <cell r="J36">
            <v>224.55344346174689</v>
          </cell>
          <cell r="K36">
            <v>232.02579305448589</v>
          </cell>
          <cell r="L36">
            <v>240.30471464809111</v>
          </cell>
          <cell r="M36">
            <v>244.98981689449565</v>
          </cell>
          <cell r="N36">
            <v>248.38375369578051</v>
          </cell>
          <cell r="O36">
            <v>251.32958388958053</v>
          </cell>
          <cell r="P36">
            <v>252.16551560302094</v>
          </cell>
          <cell r="Q36">
            <v>250.9612844521412</v>
          </cell>
          <cell r="R36">
            <v>253.58455831172864</v>
          </cell>
          <cell r="S36">
            <v>253.04743012014913</v>
          </cell>
          <cell r="T36">
            <v>253.38167244904409</v>
          </cell>
          <cell r="U36">
            <v>254.46020294238036</v>
          </cell>
          <cell r="V36">
            <v>258.3364556013488</v>
          </cell>
          <cell r="AA36">
            <v>222.25921818221013</v>
          </cell>
          <cell r="AB36">
            <v>218.60256862066223</v>
          </cell>
          <cell r="AC36">
            <v>217.51030455067809</v>
          </cell>
          <cell r="AD36">
            <v>216.49773525480413</v>
          </cell>
          <cell r="AE36">
            <v>216.35798406124368</v>
          </cell>
          <cell r="AF36">
            <v>220.09013582131047</v>
          </cell>
          <cell r="AG36">
            <v>220.43174986259976</v>
          </cell>
          <cell r="AH36">
            <v>224.85167720390987</v>
          </cell>
          <cell r="AI36">
            <v>231.08102709780505</v>
          </cell>
          <cell r="AJ36">
            <v>233.365640326114</v>
          </cell>
          <cell r="AK36">
            <v>233.57386359346768</v>
          </cell>
          <cell r="AL36">
            <v>235.18829550399749</v>
          </cell>
          <cell r="AM36">
            <v>232.53374778120957</v>
          </cell>
          <cell r="AN36">
            <v>234.89972589773419</v>
          </cell>
          <cell r="AO36">
            <v>237.5476763803016</v>
          </cell>
          <cell r="AP36">
            <v>239.24680628162685</v>
          </cell>
          <cell r="AQ36">
            <v>242.20761228490244</v>
          </cell>
          <cell r="AR36">
            <v>242.25341334082285</v>
          </cell>
          <cell r="AS36">
            <v>245.3641690130577</v>
          </cell>
        </row>
        <row r="42">
          <cell r="AE42">
            <v>4000</v>
          </cell>
          <cell r="AF42">
            <v>4250</v>
          </cell>
          <cell r="AG42">
            <v>4500</v>
          </cell>
          <cell r="AH42">
            <v>4750</v>
          </cell>
          <cell r="AI42">
            <v>5000</v>
          </cell>
          <cell r="AJ42">
            <v>5250</v>
          </cell>
          <cell r="AK42">
            <v>5500</v>
          </cell>
          <cell r="AL42">
            <v>5750</v>
          </cell>
          <cell r="AM42">
            <v>6000</v>
          </cell>
          <cell r="AN42">
            <v>6250</v>
          </cell>
          <cell r="AO42">
            <v>6500</v>
          </cell>
          <cell r="AP42">
            <v>6750</v>
          </cell>
          <cell r="AQ42">
            <v>7000</v>
          </cell>
          <cell r="AR42">
            <v>7250</v>
          </cell>
          <cell r="AS42">
            <v>7500</v>
          </cell>
        </row>
        <row r="45">
          <cell r="AE45">
            <v>620.6</v>
          </cell>
          <cell r="AF45">
            <v>632.1</v>
          </cell>
          <cell r="AG45">
            <v>663.45</v>
          </cell>
          <cell r="AH45">
            <v>686.7</v>
          </cell>
          <cell r="AI45">
            <v>716.6</v>
          </cell>
          <cell r="AJ45">
            <v>739.2</v>
          </cell>
          <cell r="AK45">
            <v>757.4</v>
          </cell>
          <cell r="AL45">
            <v>767.95</v>
          </cell>
          <cell r="AM45">
            <v>779.5</v>
          </cell>
          <cell r="AN45">
            <v>776.3</v>
          </cell>
          <cell r="AO45">
            <v>771</v>
          </cell>
          <cell r="AP45">
            <v>763.3</v>
          </cell>
          <cell r="AQ45">
            <v>738.4</v>
          </cell>
          <cell r="AR45">
            <v>716.8</v>
          </cell>
          <cell r="AS45">
            <v>699</v>
          </cell>
        </row>
        <row r="46">
          <cell r="AE46">
            <v>259.82453333333336</v>
          </cell>
          <cell r="AF46">
            <v>281.17915000000005</v>
          </cell>
          <cell r="AG46">
            <v>312.48495000000003</v>
          </cell>
          <cell r="AH46">
            <v>341.40435000000002</v>
          </cell>
          <cell r="AI46">
            <v>375.02066666666673</v>
          </cell>
          <cell r="AJ46">
            <v>406.19040000000007</v>
          </cell>
          <cell r="AK46">
            <v>436.00993333333332</v>
          </cell>
          <cell r="AL46">
            <v>462.17790833333339</v>
          </cell>
          <cell r="AM46">
            <v>489.52600000000001</v>
          </cell>
          <cell r="AN46">
            <v>507.82958333333329</v>
          </cell>
          <cell r="AO46">
            <v>524.53700000000003</v>
          </cell>
          <cell r="AP46">
            <v>539.27145000000007</v>
          </cell>
          <cell r="AQ46">
            <v>541.0010666666667</v>
          </cell>
          <cell r="AR46">
            <v>543.93173333333323</v>
          </cell>
          <cell r="AS46">
            <v>548.71500000000015</v>
          </cell>
        </row>
        <row r="47">
          <cell r="AE47">
            <v>223.30069934376223</v>
          </cell>
          <cell r="AF47">
            <v>227.39950668461722</v>
          </cell>
          <cell r="AG47">
            <v>223.19154890499524</v>
          </cell>
          <cell r="AH47">
            <v>231.71936737185683</v>
          </cell>
          <cell r="AI47">
            <v>236.86427947970864</v>
          </cell>
          <cell r="AJ47">
            <v>240.92149888328228</v>
          </cell>
          <cell r="AK47">
            <v>241.95779025829535</v>
          </cell>
          <cell r="AL47">
            <v>241.23610841128294</v>
          </cell>
          <cell r="AM47">
            <v>243.16992355870781</v>
          </cell>
          <cell r="AN47">
            <v>242.75269508882164</v>
          </cell>
          <cell r="AO47">
            <v>244.99320352997026</v>
          </cell>
          <cell r="AP47">
            <v>245.74822197614947</v>
          </cell>
          <cell r="AQ47">
            <v>248.1880503994077</v>
          </cell>
          <cell r="AR47">
            <v>247.65975534184687</v>
          </cell>
          <cell r="AS47">
            <v>250.49433676863211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TestData/20210513_PIPO_Engine5ADelivery" TargetMode="External"/><Relationship Id="rId3" Type="http://schemas.openxmlformats.org/officeDocument/2006/relationships/hyperlink" Target="../../../TestData/20210513_PIPO_Engine5ADelivery" TargetMode="External"/><Relationship Id="rId7" Type="http://schemas.openxmlformats.org/officeDocument/2006/relationships/hyperlink" Target="../../../TestData/20210510_PIPO_KnockControl" TargetMode="External"/><Relationship Id="rId2" Type="http://schemas.openxmlformats.org/officeDocument/2006/relationships/hyperlink" Target="../../../TestData/20210510_PIPO_KnockControl" TargetMode="External"/><Relationship Id="rId1" Type="http://schemas.openxmlformats.org/officeDocument/2006/relationships/hyperlink" Target="../../../TestData/20210513_PIPO_Engine5ADelivery" TargetMode="External"/><Relationship Id="rId6" Type="http://schemas.openxmlformats.org/officeDocument/2006/relationships/hyperlink" Target="../../../TestData/20210513_PIPO_Engine5ADelivery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../../../TestData/20210513_PIPO_Engine5ADelivery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../../../TestData/20210513_PIPO_Engine5ADelivery" TargetMode="External"/><Relationship Id="rId9" Type="http://schemas.openxmlformats.org/officeDocument/2006/relationships/hyperlink" Target="../../../TestData/20210513_PIPO_Engine5ADeliv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ACC9-0AC2-4993-AD10-9EE8A1DB4C84}">
  <dimension ref="B2:R12"/>
  <sheetViews>
    <sheetView tabSelected="1" workbookViewId="0">
      <selection activeCell="AE8" sqref="AE8"/>
    </sheetView>
  </sheetViews>
  <sheetFormatPr defaultRowHeight="15" x14ac:dyDescent="0.25"/>
  <cols>
    <col min="1" max="1" width="2.85546875" customWidth="1"/>
    <col min="2" max="2" width="40.42578125" bestFit="1" customWidth="1"/>
    <col min="3" max="18" width="9.140625" style="1"/>
  </cols>
  <sheetData>
    <row r="2" spans="2:17" x14ac:dyDescent="0.25">
      <c r="B2" s="8" t="s">
        <v>10</v>
      </c>
      <c r="C2" s="4">
        <v>4000</v>
      </c>
      <c r="D2" s="4">
        <v>4250</v>
      </c>
      <c r="E2" s="4">
        <v>4500</v>
      </c>
      <c r="F2" s="4">
        <v>4750</v>
      </c>
      <c r="G2" s="4">
        <v>5000</v>
      </c>
      <c r="H2" s="4">
        <v>5250</v>
      </c>
      <c r="I2" s="4">
        <v>5500</v>
      </c>
      <c r="J2" s="4">
        <v>5750</v>
      </c>
      <c r="K2" s="4">
        <v>6000</v>
      </c>
      <c r="L2" s="4">
        <v>6250</v>
      </c>
      <c r="M2" s="4">
        <v>6500</v>
      </c>
      <c r="N2" s="4">
        <v>6750</v>
      </c>
      <c r="O2" s="4">
        <v>7000</v>
      </c>
      <c r="P2" s="4">
        <v>7250</v>
      </c>
      <c r="Q2" s="4">
        <v>7500</v>
      </c>
    </row>
    <row r="3" spans="2:17" x14ac:dyDescent="0.25">
      <c r="B3" s="5" t="s">
        <v>0</v>
      </c>
      <c r="C3" s="6">
        <v>625.1</v>
      </c>
      <c r="D3" s="6">
        <v>632.70000000000005</v>
      </c>
      <c r="E3" s="6">
        <v>662.2</v>
      </c>
      <c r="F3" s="6">
        <v>687.8</v>
      </c>
      <c r="G3" s="6">
        <v>715.9</v>
      </c>
      <c r="H3" s="6">
        <v>756.4</v>
      </c>
      <c r="I3" s="6">
        <v>769.7</v>
      </c>
      <c r="J3" s="6">
        <v>764.7</v>
      </c>
      <c r="K3" s="6">
        <v>777</v>
      </c>
      <c r="L3" s="6">
        <v>775.5</v>
      </c>
      <c r="M3" s="6">
        <v>771.4</v>
      </c>
      <c r="N3" s="6">
        <v>763.3</v>
      </c>
      <c r="O3" s="6">
        <v>740.8</v>
      </c>
      <c r="P3" s="6">
        <v>714.1</v>
      </c>
      <c r="Q3" s="6">
        <v>698</v>
      </c>
    </row>
    <row r="4" spans="2:17" x14ac:dyDescent="0.25">
      <c r="B4" s="5" t="s">
        <v>6</v>
      </c>
      <c r="C4" s="6">
        <f t="shared" ref="C4:P4" si="0">C3*6.28*C2/60/1000</f>
        <v>261.70853333333332</v>
      </c>
      <c r="D4" s="6">
        <f t="shared" si="0"/>
        <v>281.44605000000001</v>
      </c>
      <c r="E4" s="6">
        <f t="shared" si="0"/>
        <v>311.89620000000008</v>
      </c>
      <c r="F4" s="6">
        <f t="shared" si="0"/>
        <v>341.95123333333333</v>
      </c>
      <c r="G4" s="6">
        <f t="shared" si="0"/>
        <v>374.65433333333334</v>
      </c>
      <c r="H4" s="6">
        <f t="shared" si="0"/>
        <v>415.64179999999999</v>
      </c>
      <c r="I4" s="6">
        <f t="shared" si="0"/>
        <v>443.09063333333341</v>
      </c>
      <c r="J4" s="6">
        <f t="shared" si="0"/>
        <v>460.22195000000005</v>
      </c>
      <c r="K4" s="6">
        <f t="shared" si="0"/>
        <v>487.95600000000007</v>
      </c>
      <c r="L4" s="6">
        <f t="shared" si="0"/>
        <v>507.30625000000003</v>
      </c>
      <c r="M4" s="6">
        <f t="shared" si="0"/>
        <v>524.80913333333331</v>
      </c>
      <c r="N4" s="6">
        <f t="shared" si="0"/>
        <v>539.27145000000007</v>
      </c>
      <c r="O4" s="6">
        <f t="shared" si="0"/>
        <v>542.75946666666664</v>
      </c>
      <c r="P4" s="6">
        <f t="shared" si="0"/>
        <v>541.88288333333344</v>
      </c>
      <c r="Q4" s="6">
        <f>Q3*6.28*Q2/60/1000</f>
        <v>547.93000000000006</v>
      </c>
    </row>
    <row r="5" spans="2:17" x14ac:dyDescent="0.25">
      <c r="B5" s="5" t="s">
        <v>1</v>
      </c>
      <c r="C5" s="6">
        <v>58.1</v>
      </c>
      <c r="D5" s="6">
        <v>64</v>
      </c>
      <c r="E5" s="6">
        <v>69.322000000000003</v>
      </c>
      <c r="F5" s="6">
        <v>79.3</v>
      </c>
      <c r="G5" s="6">
        <v>88.9</v>
      </c>
      <c r="H5" s="6">
        <v>106.7</v>
      </c>
      <c r="I5" s="6">
        <v>114</v>
      </c>
      <c r="J5" s="6">
        <v>110.1</v>
      </c>
      <c r="K5" s="6">
        <v>119.4</v>
      </c>
      <c r="L5" s="6">
        <v>122.3</v>
      </c>
      <c r="M5" s="6">
        <v>128.30000000000001</v>
      </c>
      <c r="N5" s="6">
        <v>132.80000000000001</v>
      </c>
      <c r="O5" s="6">
        <v>133.5</v>
      </c>
      <c r="P5" s="6">
        <v>137.13</v>
      </c>
      <c r="Q5" s="6">
        <v>137.30000000000001</v>
      </c>
    </row>
    <row r="6" spans="2:17" x14ac:dyDescent="0.25">
      <c r="B6" s="5" t="s">
        <v>2</v>
      </c>
      <c r="C6" s="6">
        <f t="shared" ref="C6:P6" si="1">C5*1000/C4</f>
        <v>222.00269612912891</v>
      </c>
      <c r="D6" s="6">
        <f t="shared" si="1"/>
        <v>227.39704465562758</v>
      </c>
      <c r="E6" s="6">
        <f t="shared" si="1"/>
        <v>222.25984157549846</v>
      </c>
      <c r="F6" s="6">
        <f t="shared" si="1"/>
        <v>231.90441288070608</v>
      </c>
      <c r="G6" s="6">
        <f t="shared" si="1"/>
        <v>237.28539106714368</v>
      </c>
      <c r="H6" s="6">
        <f t="shared" si="1"/>
        <v>256.71142796513732</v>
      </c>
      <c r="I6" s="6">
        <f t="shared" si="1"/>
        <v>257.28370546311851</v>
      </c>
      <c r="J6" s="6">
        <f t="shared" si="1"/>
        <v>239.23239645566665</v>
      </c>
      <c r="K6" s="6">
        <f t="shared" si="1"/>
        <v>244.69419373877969</v>
      </c>
      <c r="L6" s="6">
        <f t="shared" si="1"/>
        <v>241.07725855930218</v>
      </c>
      <c r="M6" s="6">
        <f t="shared" si="1"/>
        <v>244.46983074608588</v>
      </c>
      <c r="N6" s="6">
        <f t="shared" si="1"/>
        <v>246.25816923925785</v>
      </c>
      <c r="O6" s="6">
        <f t="shared" si="1"/>
        <v>245.96530912649828</v>
      </c>
      <c r="P6" s="6">
        <f t="shared" si="1"/>
        <v>253.062062334318</v>
      </c>
      <c r="Q6" s="6">
        <f>Q5*1000/Q4</f>
        <v>250.57945357983681</v>
      </c>
    </row>
    <row r="7" spans="2:17" x14ac:dyDescent="0.25">
      <c r="Q7" s="2"/>
    </row>
    <row r="8" spans="2:17" x14ac:dyDescent="0.25">
      <c r="B8" s="7" t="s">
        <v>11</v>
      </c>
      <c r="C8" s="4">
        <v>4000</v>
      </c>
      <c r="D8" s="4">
        <v>4250</v>
      </c>
      <c r="E8" s="4">
        <v>4500</v>
      </c>
      <c r="F8" s="4">
        <v>4750</v>
      </c>
      <c r="G8" s="4">
        <v>5000</v>
      </c>
      <c r="H8" s="4">
        <v>5250</v>
      </c>
      <c r="I8" s="4">
        <v>5500</v>
      </c>
      <c r="J8" s="4">
        <v>5750</v>
      </c>
      <c r="K8" s="4">
        <v>6000</v>
      </c>
      <c r="L8" s="4">
        <v>6250</v>
      </c>
      <c r="M8" s="4">
        <v>6500</v>
      </c>
      <c r="N8" s="4">
        <v>6750</v>
      </c>
      <c r="O8" s="4">
        <v>7000</v>
      </c>
      <c r="P8" s="4">
        <v>7250</v>
      </c>
      <c r="Q8" s="4">
        <v>7500</v>
      </c>
    </row>
    <row r="9" spans="2:17" x14ac:dyDescent="0.25">
      <c r="B9" s="5" t="s">
        <v>3</v>
      </c>
      <c r="C9" s="6">
        <v>631.79999999999995</v>
      </c>
      <c r="D9" s="6">
        <v>641.6</v>
      </c>
      <c r="E9" s="6">
        <v>682.9</v>
      </c>
      <c r="F9" s="6">
        <v>703.6</v>
      </c>
      <c r="G9" s="6">
        <v>710.2</v>
      </c>
      <c r="H9" s="6">
        <v>728.5</v>
      </c>
      <c r="I9" s="6">
        <v>764.5</v>
      </c>
      <c r="J9" s="6">
        <v>741.5</v>
      </c>
      <c r="K9" s="6">
        <v>788.8</v>
      </c>
      <c r="L9" s="6">
        <v>747.1</v>
      </c>
      <c r="M9" s="6">
        <v>794.3</v>
      </c>
      <c r="N9" s="6">
        <v>751.2</v>
      </c>
      <c r="O9" s="6">
        <v>733.1</v>
      </c>
      <c r="P9" s="6">
        <v>712.2</v>
      </c>
      <c r="Q9" s="6">
        <v>673.6</v>
      </c>
    </row>
    <row r="10" spans="2:17" x14ac:dyDescent="0.25">
      <c r="B10" s="5" t="s">
        <v>7</v>
      </c>
      <c r="C10" s="6">
        <f t="shared" ref="C10:P10" si="2">C9*6.28*C8/60/1000</f>
        <v>264.5136</v>
      </c>
      <c r="D10" s="6">
        <f t="shared" si="2"/>
        <v>285.4050666666667</v>
      </c>
      <c r="E10" s="6">
        <f t="shared" si="2"/>
        <v>321.64590000000004</v>
      </c>
      <c r="F10" s="6">
        <f t="shared" si="2"/>
        <v>349.80646666666667</v>
      </c>
      <c r="G10" s="6">
        <f t="shared" si="2"/>
        <v>371.67133333333339</v>
      </c>
      <c r="H10" s="6">
        <f t="shared" si="2"/>
        <v>400.31075000000004</v>
      </c>
      <c r="I10" s="6">
        <f t="shared" si="2"/>
        <v>440.09716666666674</v>
      </c>
      <c r="J10" s="6">
        <f t="shared" si="2"/>
        <v>446.25941666666671</v>
      </c>
      <c r="K10" s="6">
        <f t="shared" si="2"/>
        <v>495.3664</v>
      </c>
      <c r="L10" s="6">
        <f t="shared" si="2"/>
        <v>488.72791666666677</v>
      </c>
      <c r="M10" s="6">
        <f t="shared" si="2"/>
        <v>540.3887666666667</v>
      </c>
      <c r="N10" s="6">
        <f t="shared" si="2"/>
        <v>530.72280000000001</v>
      </c>
      <c r="O10" s="6">
        <f t="shared" si="2"/>
        <v>537.11793333333333</v>
      </c>
      <c r="P10" s="6">
        <f t="shared" si="2"/>
        <v>540.44110000000012</v>
      </c>
      <c r="Q10" s="6">
        <f>Q9*6.28*Q8/60/1000</f>
        <v>528.77600000000007</v>
      </c>
    </row>
    <row r="11" spans="2:17" x14ac:dyDescent="0.25">
      <c r="B11" s="5" t="s">
        <v>4</v>
      </c>
      <c r="C11" s="6">
        <v>64.3</v>
      </c>
      <c r="D11" s="6">
        <v>69.5</v>
      </c>
      <c r="E11" s="6">
        <v>77.3</v>
      </c>
      <c r="F11" s="6">
        <v>86.3</v>
      </c>
      <c r="G11" s="6">
        <v>93.2</v>
      </c>
      <c r="H11" s="6">
        <v>103.9</v>
      </c>
      <c r="I11" s="6">
        <v>115.8</v>
      </c>
      <c r="J11" s="6">
        <v>120.5</v>
      </c>
      <c r="K11" s="6">
        <v>140.69999999999999</v>
      </c>
      <c r="L11" s="6">
        <v>137.4</v>
      </c>
      <c r="M11" s="6">
        <v>156.9</v>
      </c>
      <c r="N11" s="6">
        <v>153.30000000000001</v>
      </c>
      <c r="O11" s="6">
        <v>153</v>
      </c>
      <c r="P11" s="6">
        <v>154.5</v>
      </c>
      <c r="Q11" s="6">
        <v>152.1</v>
      </c>
    </row>
    <row r="12" spans="2:17" x14ac:dyDescent="0.25">
      <c r="B12" s="5" t="s">
        <v>5</v>
      </c>
      <c r="C12" s="6">
        <f t="shared" ref="C12:P12" si="3">C11*1000/C10</f>
        <v>243.08769000913375</v>
      </c>
      <c r="D12" s="6">
        <f t="shared" si="3"/>
        <v>243.51354659436083</v>
      </c>
      <c r="E12" s="6">
        <f t="shared" si="3"/>
        <v>240.32639620153714</v>
      </c>
      <c r="F12" s="6">
        <f t="shared" si="3"/>
        <v>246.707846262419</v>
      </c>
      <c r="G12" s="6">
        <f t="shared" si="3"/>
        <v>250.75918329276578</v>
      </c>
      <c r="H12" s="6">
        <f t="shared" si="3"/>
        <v>259.54836336521061</v>
      </c>
      <c r="I12" s="6">
        <f t="shared" si="3"/>
        <v>263.12371169548538</v>
      </c>
      <c r="J12" s="6">
        <f t="shared" si="3"/>
        <v>270.02231325464089</v>
      </c>
      <c r="K12" s="6">
        <f t="shared" si="3"/>
        <v>284.03218304673067</v>
      </c>
      <c r="L12" s="6">
        <f t="shared" si="3"/>
        <v>281.13802243409117</v>
      </c>
      <c r="M12" s="6">
        <f t="shared" si="3"/>
        <v>290.34652398091424</v>
      </c>
      <c r="N12" s="6">
        <f t="shared" si="3"/>
        <v>288.85135517072189</v>
      </c>
      <c r="O12" s="6">
        <f t="shared" si="3"/>
        <v>284.85364294297131</v>
      </c>
      <c r="P12" s="6">
        <f t="shared" si="3"/>
        <v>285.8775914711149</v>
      </c>
      <c r="Q12" s="6">
        <f>Q11*1000/Q10</f>
        <v>287.64543020106811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B079-4393-476D-9BC7-EC4E13AA5C52}">
  <dimension ref="B1:R13"/>
  <sheetViews>
    <sheetView workbookViewId="0">
      <selection activeCell="B8" sqref="B8"/>
    </sheetView>
  </sheetViews>
  <sheetFormatPr defaultRowHeight="15" x14ac:dyDescent="0.25"/>
  <cols>
    <col min="1" max="1" width="2.85546875" customWidth="1"/>
    <col min="2" max="2" width="21.5703125" bestFit="1" customWidth="1"/>
  </cols>
  <sheetData>
    <row r="1" spans="2:18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"/>
    </row>
    <row r="2" spans="2:18" x14ac:dyDescent="0.25">
      <c r="B2" s="3" t="s">
        <v>9</v>
      </c>
      <c r="C2" s="1">
        <v>4000</v>
      </c>
      <c r="D2" s="1">
        <v>4250</v>
      </c>
      <c r="E2" s="1">
        <v>4500</v>
      </c>
      <c r="F2" s="1">
        <v>4750</v>
      </c>
      <c r="G2" s="1">
        <v>5000</v>
      </c>
      <c r="H2" s="1">
        <v>5250</v>
      </c>
      <c r="I2" s="1">
        <v>5500</v>
      </c>
      <c r="J2" s="1">
        <v>5750</v>
      </c>
      <c r="K2" s="1">
        <v>6000</v>
      </c>
      <c r="L2" s="1">
        <v>6250</v>
      </c>
      <c r="M2" s="1">
        <v>6500</v>
      </c>
      <c r="N2" s="1">
        <v>6750</v>
      </c>
      <c r="O2" s="1">
        <v>7000</v>
      </c>
      <c r="P2" s="1">
        <v>7250</v>
      </c>
      <c r="Q2" s="1">
        <v>7500</v>
      </c>
      <c r="R2" s="1"/>
    </row>
    <row r="3" spans="2:18" x14ac:dyDescent="0.25">
      <c r="B3" t="s">
        <v>3</v>
      </c>
      <c r="C3" s="2">
        <v>625.5</v>
      </c>
      <c r="D3" s="2">
        <v>686.4</v>
      </c>
      <c r="E3" s="2">
        <v>712.3</v>
      </c>
      <c r="F3" s="2">
        <v>724.8</v>
      </c>
      <c r="G3" s="2">
        <v>732.6</v>
      </c>
      <c r="H3" s="2">
        <v>759.8</v>
      </c>
      <c r="I3" s="2">
        <v>782.8</v>
      </c>
      <c r="J3" s="2">
        <v>793.2</v>
      </c>
      <c r="K3" s="2">
        <v>788.3</v>
      </c>
      <c r="L3" s="2">
        <v>784.3</v>
      </c>
      <c r="M3" s="2">
        <v>793.7</v>
      </c>
      <c r="N3" s="2">
        <v>774.6</v>
      </c>
      <c r="O3" s="2">
        <v>732.9</v>
      </c>
      <c r="P3" s="2">
        <v>706.7</v>
      </c>
      <c r="Q3" s="2">
        <v>653.29999999999995</v>
      </c>
      <c r="R3" s="1"/>
    </row>
    <row r="4" spans="2:18" x14ac:dyDescent="0.25">
      <c r="B4" t="s">
        <v>7</v>
      </c>
      <c r="C4" s="2">
        <f t="shared" ref="C4:P4" si="0">C3*6.28*C2/60/1000</f>
        <v>261.87600000000003</v>
      </c>
      <c r="D4" s="2">
        <f t="shared" si="0"/>
        <v>305.33359999999999</v>
      </c>
      <c r="E4" s="2">
        <f t="shared" si="0"/>
        <v>335.49329999999998</v>
      </c>
      <c r="F4" s="2">
        <f t="shared" si="0"/>
        <v>360.34640000000002</v>
      </c>
      <c r="G4" s="2">
        <f t="shared" si="0"/>
        <v>383.39400000000001</v>
      </c>
      <c r="H4" s="2">
        <f t="shared" si="0"/>
        <v>417.51009999999997</v>
      </c>
      <c r="I4" s="2">
        <f t="shared" si="0"/>
        <v>450.63186666666655</v>
      </c>
      <c r="J4" s="2">
        <f t="shared" si="0"/>
        <v>477.37420000000003</v>
      </c>
      <c r="K4" s="2">
        <f t="shared" si="0"/>
        <v>495.05240000000009</v>
      </c>
      <c r="L4" s="2">
        <f t="shared" si="0"/>
        <v>513.06291666666664</v>
      </c>
      <c r="M4" s="2">
        <f t="shared" si="0"/>
        <v>539.98056666666673</v>
      </c>
      <c r="N4" s="2">
        <f t="shared" si="0"/>
        <v>547.25490000000002</v>
      </c>
      <c r="O4" s="2">
        <f t="shared" si="0"/>
        <v>536.97140000000002</v>
      </c>
      <c r="P4" s="2">
        <f t="shared" si="0"/>
        <v>536.26751666666667</v>
      </c>
      <c r="Q4" s="2">
        <f>Q3*6.28*Q2/60/1000</f>
        <v>512.84050000000002</v>
      </c>
      <c r="R4" s="1"/>
    </row>
    <row r="5" spans="2:18" x14ac:dyDescent="0.25">
      <c r="B5" t="s">
        <v>4</v>
      </c>
      <c r="C5" s="2">
        <v>57.4</v>
      </c>
      <c r="D5" s="2">
        <v>68.625</v>
      </c>
      <c r="E5" s="2">
        <v>77.3</v>
      </c>
      <c r="F5" s="2">
        <v>86.1</v>
      </c>
      <c r="G5" s="2">
        <v>94.3</v>
      </c>
      <c r="H5" s="2">
        <v>104.9</v>
      </c>
      <c r="I5" s="2">
        <v>115.1</v>
      </c>
      <c r="J5" s="2">
        <v>122.9</v>
      </c>
      <c r="K5" s="2">
        <v>126.9</v>
      </c>
      <c r="L5" s="2">
        <v>132</v>
      </c>
      <c r="M5" s="2">
        <v>141</v>
      </c>
      <c r="N5" s="2">
        <v>141.69999999999999</v>
      </c>
      <c r="O5" s="2">
        <v>139.1</v>
      </c>
      <c r="P5" s="2">
        <v>139.69999999999999</v>
      </c>
      <c r="Q5" s="2">
        <v>136.4</v>
      </c>
      <c r="R5" s="1"/>
    </row>
    <row r="6" spans="2:18" x14ac:dyDescent="0.25">
      <c r="B6" t="s">
        <v>5</v>
      </c>
      <c r="C6" s="2">
        <f t="shared" ref="C6:P6" si="1">C5*1000/C4</f>
        <v>219.18770715911344</v>
      </c>
      <c r="D6" s="2">
        <f t="shared" si="1"/>
        <v>224.75417052037511</v>
      </c>
      <c r="E6" s="2">
        <f t="shared" si="1"/>
        <v>230.40698577289027</v>
      </c>
      <c r="F6" s="2">
        <f t="shared" si="1"/>
        <v>238.93675640994331</v>
      </c>
      <c r="G6" s="2">
        <f t="shared" si="1"/>
        <v>245.9610739865517</v>
      </c>
      <c r="H6" s="2">
        <f t="shared" si="1"/>
        <v>251.25140685219353</v>
      </c>
      <c r="I6" s="2">
        <f t="shared" si="1"/>
        <v>255.41913147731236</v>
      </c>
      <c r="J6" s="2">
        <f t="shared" si="1"/>
        <v>257.45002557741913</v>
      </c>
      <c r="K6" s="2">
        <f t="shared" si="1"/>
        <v>256.33650094414241</v>
      </c>
      <c r="L6" s="2">
        <f t="shared" si="1"/>
        <v>257.27838772210362</v>
      </c>
      <c r="M6" s="2">
        <f t="shared" si="1"/>
        <v>261.12050822569722</v>
      </c>
      <c r="N6" s="2">
        <f t="shared" si="1"/>
        <v>258.92870031862662</v>
      </c>
      <c r="O6" s="2">
        <f t="shared" si="1"/>
        <v>259.0454538174659</v>
      </c>
      <c r="P6" s="2">
        <f t="shared" si="1"/>
        <v>260.50431111014836</v>
      </c>
      <c r="Q6" s="2">
        <f>Q5*1000/Q4</f>
        <v>265.9696338335213</v>
      </c>
      <c r="R6" s="1"/>
    </row>
    <row r="7" spans="2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x14ac:dyDescent="0.25">
      <c r="B8" s="3" t="s">
        <v>8</v>
      </c>
      <c r="C8" s="1">
        <v>4000</v>
      </c>
      <c r="D8" s="1">
        <v>4250</v>
      </c>
      <c r="E8" s="1">
        <v>4500</v>
      </c>
      <c r="F8" s="1">
        <v>4750</v>
      </c>
      <c r="G8" s="1">
        <v>5000</v>
      </c>
      <c r="H8" s="1">
        <v>5250</v>
      </c>
      <c r="I8" s="1">
        <v>5500</v>
      </c>
      <c r="J8" s="1">
        <v>5750</v>
      </c>
      <c r="K8" s="1">
        <v>6000</v>
      </c>
      <c r="L8" s="1">
        <v>6250</v>
      </c>
      <c r="M8" s="1">
        <v>6500</v>
      </c>
      <c r="N8" s="1">
        <v>6750</v>
      </c>
      <c r="O8" s="1">
        <v>7000</v>
      </c>
      <c r="P8" s="1">
        <v>7250</v>
      </c>
      <c r="Q8" s="1">
        <v>7500</v>
      </c>
      <c r="R8" s="1"/>
    </row>
    <row r="9" spans="2:18" x14ac:dyDescent="0.25">
      <c r="B9" t="s">
        <v>3</v>
      </c>
      <c r="C9" s="2">
        <v>623.20000000000005</v>
      </c>
      <c r="D9" s="2">
        <v>693.2</v>
      </c>
      <c r="E9" s="2">
        <v>714.8</v>
      </c>
      <c r="F9" s="2">
        <v>726.8</v>
      </c>
      <c r="G9" s="2">
        <v>736.4</v>
      </c>
      <c r="H9" s="2">
        <v>762.6</v>
      </c>
      <c r="I9" s="2">
        <v>790.9</v>
      </c>
      <c r="J9" s="2">
        <v>792.4</v>
      </c>
      <c r="K9" s="2">
        <v>834.9</v>
      </c>
      <c r="L9" s="2">
        <v>815.5</v>
      </c>
      <c r="M9" s="2">
        <v>815.4</v>
      </c>
      <c r="N9" s="2">
        <v>783</v>
      </c>
      <c r="O9" s="2">
        <v>738.2</v>
      </c>
      <c r="P9" s="2">
        <v>710.1</v>
      </c>
      <c r="Q9" s="2">
        <v>654.70000000000005</v>
      </c>
      <c r="R9" s="1"/>
    </row>
    <row r="10" spans="2:18" x14ac:dyDescent="0.25">
      <c r="B10" t="s">
        <v>7</v>
      </c>
      <c r="C10" s="2">
        <f t="shared" ref="C10:P10" si="2">C9*6.28*C8/60/1000</f>
        <v>260.91306666666674</v>
      </c>
      <c r="D10" s="2">
        <f t="shared" si="2"/>
        <v>308.35846666666669</v>
      </c>
      <c r="E10" s="2">
        <f t="shared" si="2"/>
        <v>336.67079999999993</v>
      </c>
      <c r="F10" s="2">
        <f t="shared" si="2"/>
        <v>361.34073333333333</v>
      </c>
      <c r="G10" s="2">
        <f t="shared" si="2"/>
        <v>385.38266666666669</v>
      </c>
      <c r="H10" s="2">
        <f t="shared" si="2"/>
        <v>419.04870000000005</v>
      </c>
      <c r="I10" s="2">
        <f t="shared" si="2"/>
        <v>455.29476666666665</v>
      </c>
      <c r="J10" s="2">
        <f t="shared" si="2"/>
        <v>476.89273333333335</v>
      </c>
      <c r="K10" s="2">
        <f t="shared" si="2"/>
        <v>524.31720000000007</v>
      </c>
      <c r="L10" s="2">
        <f t="shared" si="2"/>
        <v>533.47291666666661</v>
      </c>
      <c r="M10" s="2">
        <f t="shared" si="2"/>
        <v>554.74380000000008</v>
      </c>
      <c r="N10" s="2">
        <f t="shared" si="2"/>
        <v>553.18949999999995</v>
      </c>
      <c r="O10" s="2">
        <f t="shared" si="2"/>
        <v>540.85453333333339</v>
      </c>
      <c r="P10" s="2">
        <f t="shared" si="2"/>
        <v>538.84755000000007</v>
      </c>
      <c r="Q10" s="2">
        <f>Q9*6.28*Q8/60/1000</f>
        <v>513.93950000000007</v>
      </c>
      <c r="R10" s="1"/>
    </row>
    <row r="11" spans="2:18" x14ac:dyDescent="0.25">
      <c r="B11" t="s">
        <v>4</v>
      </c>
      <c r="C11" s="2">
        <v>58.6</v>
      </c>
      <c r="D11" s="2">
        <v>70</v>
      </c>
      <c r="E11" s="2">
        <v>76.599999999999994</v>
      </c>
      <c r="F11" s="2">
        <v>86.3</v>
      </c>
      <c r="G11" s="2">
        <v>94.4</v>
      </c>
      <c r="H11" s="2">
        <v>104.7</v>
      </c>
      <c r="I11" s="2">
        <v>115.9</v>
      </c>
      <c r="J11" s="2">
        <v>122.2</v>
      </c>
      <c r="K11" s="2">
        <v>134</v>
      </c>
      <c r="L11" s="2">
        <v>140.19999999999999</v>
      </c>
      <c r="M11" s="2">
        <v>143.6</v>
      </c>
      <c r="N11" s="2">
        <v>142.4</v>
      </c>
      <c r="O11" s="2">
        <v>139.5</v>
      </c>
      <c r="P11" s="2">
        <v>139.4</v>
      </c>
      <c r="Q11" s="2">
        <v>137.19999999999999</v>
      </c>
      <c r="R11" s="1"/>
    </row>
    <row r="12" spans="2:18" x14ac:dyDescent="0.25">
      <c r="B12" t="s">
        <v>5</v>
      </c>
      <c r="C12" s="2">
        <f t="shared" ref="C12:P12" si="3">C11*1000/C10</f>
        <v>224.59588072246791</v>
      </c>
      <c r="D12" s="2">
        <f t="shared" si="3"/>
        <v>227.00852276473896</v>
      </c>
      <c r="E12" s="2">
        <f t="shared" si="3"/>
        <v>227.52195913634333</v>
      </c>
      <c r="F12" s="2">
        <f t="shared" si="3"/>
        <v>238.83274715222623</v>
      </c>
      <c r="G12" s="2">
        <f t="shared" si="3"/>
        <v>244.95133840996132</v>
      </c>
      <c r="H12" s="2">
        <f t="shared" si="3"/>
        <v>249.8516282236408</v>
      </c>
      <c r="I12" s="2">
        <f t="shared" si="3"/>
        <v>254.56036063962372</v>
      </c>
      <c r="J12" s="2">
        <f t="shared" si="3"/>
        <v>256.24210951141913</v>
      </c>
      <c r="K12" s="2">
        <f t="shared" si="3"/>
        <v>255.57048290614915</v>
      </c>
      <c r="L12" s="2">
        <f t="shared" si="3"/>
        <v>262.80621868495359</v>
      </c>
      <c r="M12" s="2">
        <f t="shared" si="3"/>
        <v>258.85823329616301</v>
      </c>
      <c r="N12" s="2">
        <f t="shared" si="3"/>
        <v>257.41631032403905</v>
      </c>
      <c r="O12" s="2">
        <f t="shared" si="3"/>
        <v>257.92517470501616</v>
      </c>
      <c r="P12" s="2">
        <f t="shared" si="3"/>
        <v>258.70025761460727</v>
      </c>
      <c r="Q12" s="2">
        <f>Q11*1000/Q10</f>
        <v>266.95749207834768</v>
      </c>
      <c r="R12" s="1"/>
    </row>
    <row r="13" spans="2:1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10BC-1D0F-44EC-BDE1-8A993C788E44}">
  <dimension ref="A1:AT69"/>
  <sheetViews>
    <sheetView showGridLines="0" topLeftCell="C1" zoomScale="40" zoomScaleNormal="40" workbookViewId="0">
      <selection activeCell="BA99" sqref="BA99"/>
    </sheetView>
  </sheetViews>
  <sheetFormatPr defaultRowHeight="15" x14ac:dyDescent="0.25"/>
  <cols>
    <col min="2" max="2" width="13" customWidth="1"/>
    <col min="3" max="3" width="28" bestFit="1" customWidth="1"/>
    <col min="4" max="4" width="15.7109375" customWidth="1"/>
    <col min="5" max="5" width="16" customWidth="1"/>
    <col min="6" max="6" width="14.140625" customWidth="1"/>
    <col min="7" max="7" width="14.7109375" customWidth="1"/>
    <col min="8" max="8" width="13.140625" customWidth="1"/>
    <col min="9" max="9" width="16.85546875" bestFit="1" customWidth="1"/>
    <col min="10" max="19" width="9.5703125" bestFit="1" customWidth="1"/>
    <col min="20" max="20" width="9.5703125" customWidth="1"/>
    <col min="21" max="22" width="9.5703125" bestFit="1" customWidth="1"/>
    <col min="23" max="23" width="9.140625" style="29"/>
    <col min="25" max="25" width="13" customWidth="1"/>
    <col min="26" max="26" width="28" bestFit="1" customWidth="1"/>
    <col min="27" max="30" width="17.5703125" customWidth="1"/>
    <col min="31" max="31" width="16" customWidth="1"/>
    <col min="32" max="32" width="16.85546875" bestFit="1" customWidth="1"/>
    <col min="33" max="33" width="11.42578125" bestFit="1" customWidth="1"/>
    <col min="34" max="36" width="11.7109375" bestFit="1" customWidth="1"/>
    <col min="37" max="37" width="11.42578125" bestFit="1" customWidth="1"/>
    <col min="38" max="38" width="11.7109375" bestFit="1" customWidth="1"/>
    <col min="39" max="39" width="11.42578125" bestFit="1" customWidth="1"/>
    <col min="40" max="45" width="11.7109375" bestFit="1" customWidth="1"/>
  </cols>
  <sheetData>
    <row r="1" spans="1:46" ht="15" customHeight="1" x14ac:dyDescent="0.25">
      <c r="A1" s="9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1"/>
      <c r="X1" s="12" t="s">
        <v>13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4"/>
    </row>
    <row r="2" spans="1:46" ht="15.75" customHeight="1" thickBot="1" x14ac:dyDescent="0.3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/>
      <c r="X2" s="18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20"/>
    </row>
    <row r="3" spans="1:46" ht="15.7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2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spans="1:46" ht="15.75" customHeight="1" x14ac:dyDescent="0.25">
      <c r="A4" s="23" t="s">
        <v>14</v>
      </c>
      <c r="B4" s="23"/>
      <c r="C4" s="23"/>
      <c r="D4" s="23"/>
      <c r="E4" s="24" t="s">
        <v>15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2"/>
      <c r="X4" s="25" t="s">
        <v>14</v>
      </c>
      <c r="Y4" s="26"/>
      <c r="Z4" s="26"/>
      <c r="AA4" s="26"/>
      <c r="AB4" s="24" t="s">
        <v>15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</row>
    <row r="5" spans="1:46" x14ac:dyDescent="0.25">
      <c r="A5" s="27" t="s">
        <v>16</v>
      </c>
      <c r="B5" s="27"/>
      <c r="C5" s="27"/>
      <c r="D5" s="27"/>
      <c r="E5" s="28" t="s">
        <v>17</v>
      </c>
      <c r="F5" s="28"/>
      <c r="G5" s="28"/>
      <c r="H5" s="28"/>
      <c r="I5" s="28"/>
      <c r="J5" s="28"/>
      <c r="X5" s="30" t="s">
        <v>16</v>
      </c>
      <c r="Y5" s="27"/>
      <c r="Z5" s="27"/>
      <c r="AA5" s="27"/>
      <c r="AB5" s="28" t="s">
        <v>18</v>
      </c>
      <c r="AC5" s="28"/>
      <c r="AD5" s="28"/>
      <c r="AE5" s="28"/>
      <c r="AF5" s="28"/>
      <c r="AG5" s="28"/>
      <c r="AH5" s="28"/>
    </row>
    <row r="6" spans="1:46" x14ac:dyDescent="0.25">
      <c r="A6" s="31" t="s">
        <v>19</v>
      </c>
      <c r="B6" s="32"/>
      <c r="C6" s="33" t="s">
        <v>20</v>
      </c>
      <c r="D6" s="34"/>
      <c r="E6" s="34"/>
      <c r="F6" s="34"/>
      <c r="G6" s="34"/>
      <c r="H6" s="34"/>
      <c r="I6" s="35" t="s">
        <v>21</v>
      </c>
      <c r="J6" s="36" t="s">
        <v>22</v>
      </c>
      <c r="K6" s="36"/>
      <c r="L6" s="37"/>
      <c r="M6" s="37"/>
      <c r="N6" s="37"/>
      <c r="O6" s="37"/>
      <c r="P6" s="37"/>
      <c r="Q6" s="37"/>
      <c r="R6" s="37"/>
      <c r="S6" s="37"/>
      <c r="T6" s="37"/>
      <c r="U6" s="37"/>
      <c r="V6" s="38"/>
      <c r="X6" s="31" t="s">
        <v>19</v>
      </c>
      <c r="Y6" s="32"/>
      <c r="Z6" s="39" t="s">
        <v>23</v>
      </c>
      <c r="AA6" s="40"/>
      <c r="AB6" s="40"/>
      <c r="AC6" s="40"/>
      <c r="AD6" s="40"/>
      <c r="AE6" s="40"/>
      <c r="AF6" s="35" t="s">
        <v>21</v>
      </c>
      <c r="AG6" s="36" t="s">
        <v>22</v>
      </c>
      <c r="AH6" s="36"/>
      <c r="AI6" s="37"/>
      <c r="AJ6" s="38"/>
    </row>
    <row r="7" spans="1:46" x14ac:dyDescent="0.25">
      <c r="C7" s="41"/>
      <c r="V7" s="42"/>
      <c r="Z7" s="41"/>
      <c r="AJ7" s="42"/>
    </row>
    <row r="8" spans="1:46" x14ac:dyDescent="0.25">
      <c r="C8" s="43" t="s">
        <v>24</v>
      </c>
      <c r="D8" s="3">
        <v>3000</v>
      </c>
      <c r="E8" s="3">
        <v>3250</v>
      </c>
      <c r="F8" s="3">
        <v>3500</v>
      </c>
      <c r="G8" s="3">
        <v>3750</v>
      </c>
      <c r="H8" s="44">
        <v>4000</v>
      </c>
      <c r="I8" s="44">
        <v>4250</v>
      </c>
      <c r="J8" s="44">
        <v>4500</v>
      </c>
      <c r="K8" s="44">
        <v>4750</v>
      </c>
      <c r="L8" s="44">
        <v>5000</v>
      </c>
      <c r="M8" s="44">
        <v>5250</v>
      </c>
      <c r="N8" s="44">
        <v>5500</v>
      </c>
      <c r="O8" s="44">
        <v>5750</v>
      </c>
      <c r="P8" s="44">
        <v>6000</v>
      </c>
      <c r="Q8" s="44">
        <v>6250</v>
      </c>
      <c r="R8" s="44">
        <v>6500</v>
      </c>
      <c r="S8" s="44">
        <v>6750</v>
      </c>
      <c r="T8" s="44">
        <v>7000</v>
      </c>
      <c r="U8" s="44">
        <v>7250</v>
      </c>
      <c r="V8" s="45">
        <v>7500</v>
      </c>
      <c r="Z8" s="43" t="s">
        <v>24</v>
      </c>
      <c r="AA8" s="3">
        <v>3000</v>
      </c>
      <c r="AB8" s="3">
        <v>3500</v>
      </c>
      <c r="AC8" s="46">
        <v>4000</v>
      </c>
      <c r="AD8" s="46">
        <v>4500</v>
      </c>
      <c r="AE8" s="46">
        <v>5000</v>
      </c>
      <c r="AF8" s="46">
        <v>5500</v>
      </c>
      <c r="AG8" s="46">
        <v>6000</v>
      </c>
      <c r="AH8" s="46">
        <v>6500</v>
      </c>
      <c r="AI8" s="46">
        <v>7000</v>
      </c>
      <c r="AJ8" s="47">
        <v>7500</v>
      </c>
    </row>
    <row r="9" spans="1:46" x14ac:dyDescent="0.25">
      <c r="C9" s="43" t="s">
        <v>25</v>
      </c>
      <c r="D9" s="48"/>
      <c r="E9" s="48"/>
      <c r="F9" s="48"/>
      <c r="G9" s="48"/>
      <c r="H9" s="49">
        <v>21.98</v>
      </c>
      <c r="I9" s="48"/>
      <c r="J9" s="49">
        <v>28.53</v>
      </c>
      <c r="K9" s="48"/>
      <c r="L9" s="49">
        <v>35.61</v>
      </c>
      <c r="M9" s="48"/>
      <c r="N9" s="49">
        <v>41.18</v>
      </c>
      <c r="O9" s="48"/>
      <c r="P9" s="49">
        <v>46.8</v>
      </c>
      <c r="Q9" s="48"/>
      <c r="R9" s="49">
        <v>50.863999999999997</v>
      </c>
      <c r="S9" s="48"/>
      <c r="T9" s="49">
        <v>54.09</v>
      </c>
      <c r="U9" s="48"/>
      <c r="V9" s="50">
        <v>57.92</v>
      </c>
      <c r="Z9" s="43" t="s">
        <v>25</v>
      </c>
      <c r="AA9" s="2">
        <v>14.51</v>
      </c>
      <c r="AB9" s="2">
        <v>17.77</v>
      </c>
      <c r="AC9" s="2">
        <v>22.13</v>
      </c>
      <c r="AD9" s="2">
        <v>28.52</v>
      </c>
      <c r="AE9" s="2">
        <v>35.67</v>
      </c>
      <c r="AF9" s="2">
        <v>41.212000000000003</v>
      </c>
      <c r="AG9" s="2">
        <v>46.73</v>
      </c>
      <c r="AH9" s="2">
        <v>50.98</v>
      </c>
      <c r="AI9" s="2">
        <v>54.097999999999999</v>
      </c>
      <c r="AJ9" s="51">
        <v>57.795000000000002</v>
      </c>
    </row>
    <row r="10" spans="1:46" x14ac:dyDescent="0.25">
      <c r="C10" s="43" t="s">
        <v>26</v>
      </c>
      <c r="D10" s="52"/>
      <c r="E10" s="52"/>
      <c r="F10" s="52"/>
      <c r="G10" s="52"/>
      <c r="H10" s="53">
        <f t="shared" ref="H10:V10" si="0">H9/3600</f>
        <v>6.1055555555555559E-3</v>
      </c>
      <c r="I10" s="52"/>
      <c r="J10" s="53">
        <f t="shared" si="0"/>
        <v>7.9249999999999998E-3</v>
      </c>
      <c r="K10" s="52"/>
      <c r="L10" s="53">
        <f t="shared" si="0"/>
        <v>9.8916666666666667E-3</v>
      </c>
      <c r="M10" s="52"/>
      <c r="N10" s="53">
        <f t="shared" si="0"/>
        <v>1.1438888888888889E-2</v>
      </c>
      <c r="O10" s="52"/>
      <c r="P10" s="53">
        <f t="shared" si="0"/>
        <v>1.2999999999999999E-2</v>
      </c>
      <c r="Q10" s="52"/>
      <c r="R10" s="53">
        <f t="shared" si="0"/>
        <v>1.4128888888888889E-2</v>
      </c>
      <c r="S10" s="52"/>
      <c r="T10" s="53">
        <f t="shared" si="0"/>
        <v>1.5025E-2</v>
      </c>
      <c r="U10" s="52"/>
      <c r="V10" s="54">
        <f t="shared" si="0"/>
        <v>1.6088888888888889E-2</v>
      </c>
      <c r="Z10" s="43" t="s">
        <v>26</v>
      </c>
      <c r="AA10" s="55">
        <f t="shared" ref="AA10" si="1">AA9/3600</f>
        <v>4.0305555555555555E-3</v>
      </c>
      <c r="AB10" s="55">
        <f>AB9/3600</f>
        <v>4.9361111111111107E-3</v>
      </c>
      <c r="AC10" s="55">
        <f t="shared" ref="AC10" si="2">AC9/3600</f>
        <v>6.1472222222222223E-3</v>
      </c>
      <c r="AD10" s="55">
        <f>AD9/3600</f>
        <v>7.9222222222222229E-3</v>
      </c>
      <c r="AE10" s="55">
        <f>AE9/3600</f>
        <v>9.9083333333333332E-3</v>
      </c>
      <c r="AF10" s="55">
        <f>AF9/3600</f>
        <v>1.1447777777777779E-2</v>
      </c>
      <c r="AG10" s="55">
        <f>AG9/3600</f>
        <v>1.2980555555555554E-2</v>
      </c>
      <c r="AH10" s="55">
        <f>AH9/3600</f>
        <v>1.416111111111111E-2</v>
      </c>
      <c r="AI10" s="55">
        <f>AI9/3600</f>
        <v>1.5027222222222221E-2</v>
      </c>
      <c r="AJ10" s="56">
        <f>AJ9/3600</f>
        <v>1.6054166666666668E-2</v>
      </c>
    </row>
    <row r="11" spans="1:46" x14ac:dyDescent="0.25">
      <c r="C11" s="43" t="s">
        <v>0</v>
      </c>
      <c r="D11" s="48"/>
      <c r="E11" s="48"/>
      <c r="F11" s="48"/>
      <c r="G11" s="48"/>
      <c r="H11" s="49">
        <v>201.9</v>
      </c>
      <c r="I11" s="48"/>
      <c r="J11" s="49">
        <v>222.8</v>
      </c>
      <c r="K11" s="48"/>
      <c r="L11" s="49">
        <v>232.4</v>
      </c>
      <c r="M11" s="48"/>
      <c r="N11" s="49">
        <v>239.5</v>
      </c>
      <c r="O11" s="48"/>
      <c r="P11" s="49">
        <v>262.8</v>
      </c>
      <c r="Q11" s="48"/>
      <c r="R11" s="49">
        <v>265.5</v>
      </c>
      <c r="S11" s="48"/>
      <c r="T11" s="49">
        <v>256</v>
      </c>
      <c r="U11" s="48"/>
      <c r="V11" s="50">
        <v>246.7</v>
      </c>
      <c r="Z11" s="43" t="s">
        <v>0</v>
      </c>
      <c r="AA11" s="2">
        <v>170.6</v>
      </c>
      <c r="AB11" s="2">
        <v>186.9</v>
      </c>
      <c r="AC11" s="2">
        <v>204</v>
      </c>
      <c r="AD11" s="2">
        <v>223.9</v>
      </c>
      <c r="AE11" s="2">
        <v>232.5</v>
      </c>
      <c r="AF11" s="2">
        <v>240</v>
      </c>
      <c r="AG11" s="2">
        <v>263.2</v>
      </c>
      <c r="AH11" s="2">
        <v>267.3</v>
      </c>
      <c r="AI11" s="2">
        <v>255.9</v>
      </c>
      <c r="AJ11" s="51">
        <v>246.4</v>
      </c>
    </row>
    <row r="12" spans="1:46" ht="15.75" thickBot="1" x14ac:dyDescent="0.3">
      <c r="C12" s="43" t="s">
        <v>6</v>
      </c>
      <c r="D12" s="57"/>
      <c r="E12" s="57"/>
      <c r="F12" s="57"/>
      <c r="G12" s="57"/>
      <c r="H12" s="58">
        <f t="shared" ref="H12:V12" si="3">H11*6.28*H8/60/1000</f>
        <v>84.528800000000004</v>
      </c>
      <c r="I12" s="57"/>
      <c r="J12" s="58">
        <f t="shared" si="3"/>
        <v>104.93880000000001</v>
      </c>
      <c r="K12" s="57"/>
      <c r="L12" s="58">
        <f t="shared" si="3"/>
        <v>121.62266666666667</v>
      </c>
      <c r="M12" s="57"/>
      <c r="N12" s="58">
        <f t="shared" si="3"/>
        <v>137.87216666666669</v>
      </c>
      <c r="O12" s="57"/>
      <c r="P12" s="58">
        <f t="shared" si="3"/>
        <v>165.03840000000002</v>
      </c>
      <c r="Q12" s="57"/>
      <c r="R12" s="58">
        <f t="shared" si="3"/>
        <v>180.62850000000003</v>
      </c>
      <c r="S12" s="57"/>
      <c r="T12" s="58">
        <f t="shared" si="3"/>
        <v>187.56266666666664</v>
      </c>
      <c r="U12" s="57"/>
      <c r="V12" s="59">
        <f t="shared" si="3"/>
        <v>193.65950000000001</v>
      </c>
      <c r="Z12" s="43" t="s">
        <v>6</v>
      </c>
      <c r="AA12" s="2">
        <f t="shared" ref="AA12" si="4">AA11*6.28*AA8/60/1000</f>
        <v>53.568400000000004</v>
      </c>
      <c r="AB12" s="2">
        <f>AB11*6.28*AB8/60/1000</f>
        <v>68.467699999999994</v>
      </c>
      <c r="AC12" s="2">
        <f>AC11*6.28*AC8/60/1000</f>
        <v>85.408000000000015</v>
      </c>
      <c r="AD12" s="2">
        <f>AD11*6.28*AD8/60/1000</f>
        <v>105.45689999999999</v>
      </c>
      <c r="AE12" s="2">
        <f>AE11*6.28*AE8/60/1000</f>
        <v>121.67500000000001</v>
      </c>
      <c r="AF12" s="2">
        <f>AF11*6.28*AF8/60/1000</f>
        <v>138.16</v>
      </c>
      <c r="AG12" s="2">
        <f>AG11*6.28*AG8/60/1000</f>
        <v>165.28960000000001</v>
      </c>
      <c r="AH12" s="2">
        <f>AH11*6.28*AH8/60/1000</f>
        <v>181.85310000000004</v>
      </c>
      <c r="AI12" s="2">
        <f>AI11*6.28*AI8/60/1000</f>
        <v>187.48940000000002</v>
      </c>
      <c r="AJ12" s="51">
        <f>AJ11*6.28*AJ8/60/1000</f>
        <v>193.42400000000001</v>
      </c>
    </row>
    <row r="13" spans="1:46" ht="15.75" thickBot="1" x14ac:dyDescent="0.3">
      <c r="C13" s="60" t="s">
        <v>27</v>
      </c>
      <c r="D13" s="61" t="e">
        <f t="shared" ref="D13:V13" si="5">D9*1000/D12</f>
        <v>#DIV/0!</v>
      </c>
      <c r="E13" s="62" t="e">
        <f t="shared" si="5"/>
        <v>#DIV/0!</v>
      </c>
      <c r="F13" s="62" t="e">
        <f t="shared" si="5"/>
        <v>#DIV/0!</v>
      </c>
      <c r="G13" s="62" t="e">
        <f t="shared" si="5"/>
        <v>#DIV/0!</v>
      </c>
      <c r="H13" s="62">
        <f t="shared" si="5"/>
        <v>260.02971768202082</v>
      </c>
      <c r="I13" s="62" t="e">
        <f t="shared" si="5"/>
        <v>#DIV/0!</v>
      </c>
      <c r="J13" s="62">
        <f t="shared" si="5"/>
        <v>271.87274868780656</v>
      </c>
      <c r="K13" s="62" t="e">
        <f t="shared" si="5"/>
        <v>#DIV/0!</v>
      </c>
      <c r="L13" s="62">
        <f t="shared" si="5"/>
        <v>292.79081750112368</v>
      </c>
      <c r="M13" s="62" t="e">
        <f t="shared" si="5"/>
        <v>#DIV/0!</v>
      </c>
      <c r="N13" s="62">
        <f t="shared" si="5"/>
        <v>298.68247519139101</v>
      </c>
      <c r="O13" s="62" t="e">
        <f t="shared" si="5"/>
        <v>#DIV/0!</v>
      </c>
      <c r="P13" s="62">
        <f t="shared" si="5"/>
        <v>283.57036907774187</v>
      </c>
      <c r="Q13" s="62" t="e">
        <f t="shared" si="5"/>
        <v>#DIV/0!</v>
      </c>
      <c r="R13" s="62">
        <f t="shared" si="5"/>
        <v>281.59454349673496</v>
      </c>
      <c r="S13" s="62" t="e">
        <f t="shared" si="5"/>
        <v>#DIV/0!</v>
      </c>
      <c r="T13" s="62">
        <f t="shared" si="5"/>
        <v>288.38361578707918</v>
      </c>
      <c r="U13" s="62" t="e">
        <f t="shared" si="5"/>
        <v>#DIV/0!</v>
      </c>
      <c r="V13" s="63">
        <f t="shared" si="5"/>
        <v>299.08163555105739</v>
      </c>
      <c r="Z13" s="60" t="s">
        <v>27</v>
      </c>
      <c r="AA13" s="61">
        <f t="shared" ref="AA13" si="6">AA9*1000/AA12</f>
        <v>270.86864644081209</v>
      </c>
      <c r="AB13" s="62">
        <f>AB9*1000/AB12</f>
        <v>259.53843929327263</v>
      </c>
      <c r="AC13" s="62">
        <f t="shared" ref="AC13" si="7">AC9*1000/AC12</f>
        <v>259.10921693518168</v>
      </c>
      <c r="AD13" s="62">
        <f>AD9*1000/AD12</f>
        <v>270.44223753969635</v>
      </c>
      <c r="AE13" s="62">
        <f>AE9*1000/AE12</f>
        <v>293.1580028765153</v>
      </c>
      <c r="AF13" s="62">
        <f>AF9*1000/AF12</f>
        <v>298.29183555298204</v>
      </c>
      <c r="AG13" s="62">
        <f>AG9*1000/AG12</f>
        <v>282.71591195090315</v>
      </c>
      <c r="AH13" s="62">
        <f>AH9*1000/AH12</f>
        <v>280.33616144019533</v>
      </c>
      <c r="AI13" s="62">
        <f>AI9*1000/AI12</f>
        <v>288.53897873693126</v>
      </c>
      <c r="AJ13" s="63">
        <f>AJ9*1000/AJ12</f>
        <v>298.79952849698071</v>
      </c>
    </row>
    <row r="15" spans="1:46" ht="15.75" customHeight="1" x14ac:dyDescent="0.25">
      <c r="A15" s="23" t="s">
        <v>14</v>
      </c>
      <c r="B15" s="23"/>
      <c r="C15" s="23"/>
      <c r="D15" s="23"/>
      <c r="E15" s="24" t="s">
        <v>15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2"/>
      <c r="X15" s="25" t="s">
        <v>14</v>
      </c>
      <c r="Y15" s="26"/>
      <c r="Z15" s="26"/>
      <c r="AA15" s="26"/>
      <c r="AB15" s="24" t="s">
        <v>15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 spans="1:46" x14ac:dyDescent="0.25">
      <c r="A16" s="27" t="s">
        <v>28</v>
      </c>
      <c r="B16" s="27"/>
      <c r="C16" s="27"/>
      <c r="D16" s="27"/>
      <c r="E16" s="28" t="s">
        <v>29</v>
      </c>
      <c r="F16" s="28"/>
      <c r="G16" s="28"/>
      <c r="H16" s="28"/>
      <c r="I16" s="28"/>
      <c r="J16" s="28"/>
      <c r="X16" s="30" t="s">
        <v>16</v>
      </c>
      <c r="Y16" s="27"/>
      <c r="Z16" s="27"/>
      <c r="AA16" s="27"/>
      <c r="AB16" s="28" t="s">
        <v>18</v>
      </c>
      <c r="AC16" s="28"/>
      <c r="AD16" s="28"/>
      <c r="AE16" s="28"/>
      <c r="AF16" s="28"/>
      <c r="AG16" s="28"/>
      <c r="AH16" s="28"/>
    </row>
    <row r="17" spans="1:45" x14ac:dyDescent="0.25">
      <c r="A17" s="64" t="s">
        <v>30</v>
      </c>
      <c r="B17" s="65"/>
      <c r="C17" s="33" t="s">
        <v>20</v>
      </c>
      <c r="D17" s="34"/>
      <c r="E17" s="34"/>
      <c r="F17" s="34"/>
      <c r="G17" s="34"/>
      <c r="H17" s="34"/>
      <c r="I17" s="35" t="s">
        <v>31</v>
      </c>
      <c r="J17" s="36" t="s">
        <v>22</v>
      </c>
      <c r="K17" s="3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8"/>
      <c r="X17" s="66" t="s">
        <v>32</v>
      </c>
      <c r="Y17" s="67"/>
      <c r="Z17" s="39" t="s">
        <v>23</v>
      </c>
      <c r="AA17" s="40"/>
      <c r="AB17" s="40"/>
      <c r="AC17" s="40"/>
      <c r="AD17" s="40"/>
      <c r="AE17" s="40"/>
      <c r="AF17" s="35" t="s">
        <v>33</v>
      </c>
      <c r="AG17" s="36" t="s">
        <v>22</v>
      </c>
      <c r="AH17" s="36"/>
      <c r="AI17" s="37"/>
      <c r="AJ17" s="38"/>
    </row>
    <row r="18" spans="1:45" x14ac:dyDescent="0.25">
      <c r="C18" s="41"/>
      <c r="V18" s="42"/>
      <c r="Z18" s="41"/>
      <c r="AJ18" s="42"/>
    </row>
    <row r="19" spans="1:45" x14ac:dyDescent="0.25">
      <c r="C19" s="43" t="s">
        <v>24</v>
      </c>
      <c r="D19" s="3">
        <v>3000</v>
      </c>
      <c r="E19" s="3">
        <v>3250</v>
      </c>
      <c r="F19" s="3">
        <v>3500</v>
      </c>
      <c r="G19" s="3">
        <v>3750</v>
      </c>
      <c r="H19" s="44">
        <v>4000</v>
      </c>
      <c r="I19" s="44">
        <v>4250</v>
      </c>
      <c r="J19" s="44">
        <v>4500</v>
      </c>
      <c r="K19" s="44">
        <v>4750</v>
      </c>
      <c r="L19" s="44">
        <v>5000</v>
      </c>
      <c r="M19" s="44">
        <v>5250</v>
      </c>
      <c r="N19" s="44">
        <v>5500</v>
      </c>
      <c r="O19" s="44">
        <v>5750</v>
      </c>
      <c r="P19" s="44">
        <v>6000</v>
      </c>
      <c r="Q19" s="44">
        <v>6250</v>
      </c>
      <c r="R19" s="44">
        <v>6500</v>
      </c>
      <c r="S19" s="44">
        <v>6750</v>
      </c>
      <c r="T19" s="44">
        <v>7000</v>
      </c>
      <c r="U19" s="44">
        <v>7250</v>
      </c>
      <c r="V19" s="45">
        <v>7500</v>
      </c>
      <c r="Z19" s="43" t="s">
        <v>24</v>
      </c>
      <c r="AA19" s="3">
        <v>3000</v>
      </c>
      <c r="AB19" s="3">
        <v>3500</v>
      </c>
      <c r="AC19" s="46">
        <v>4000</v>
      </c>
      <c r="AD19" s="46">
        <v>4500</v>
      </c>
      <c r="AE19" s="46">
        <v>5000</v>
      </c>
      <c r="AF19" s="46">
        <v>5500</v>
      </c>
      <c r="AG19" s="46">
        <v>6000</v>
      </c>
      <c r="AH19" s="46">
        <v>6500</v>
      </c>
      <c r="AI19" s="46">
        <v>7000</v>
      </c>
      <c r="AJ19" s="47">
        <v>7500</v>
      </c>
    </row>
    <row r="20" spans="1:45" x14ac:dyDescent="0.25">
      <c r="C20" s="43" t="s">
        <v>25</v>
      </c>
      <c r="D20" s="48"/>
      <c r="E20" s="48"/>
      <c r="F20" s="48"/>
      <c r="G20" s="49">
        <v>57.64</v>
      </c>
      <c r="H20" s="49">
        <v>64.14</v>
      </c>
      <c r="I20" s="49">
        <v>69.38</v>
      </c>
      <c r="J20" s="49">
        <v>77.25</v>
      </c>
      <c r="K20" s="49">
        <v>86.27</v>
      </c>
      <c r="L20" s="49">
        <v>93.04</v>
      </c>
      <c r="M20" s="49">
        <v>103.73</v>
      </c>
      <c r="N20" s="49">
        <v>115.75</v>
      </c>
      <c r="O20" s="49">
        <v>120.22</v>
      </c>
      <c r="P20" s="49">
        <v>140.36000000000001</v>
      </c>
      <c r="Q20" s="49">
        <v>137.12</v>
      </c>
      <c r="R20" s="49">
        <v>156.72999999999999</v>
      </c>
      <c r="S20" s="49">
        <v>152.9</v>
      </c>
      <c r="T20" s="49">
        <v>152.80000000000001</v>
      </c>
      <c r="U20" s="49">
        <v>154.1</v>
      </c>
      <c r="V20" s="50">
        <v>151.91</v>
      </c>
      <c r="Z20" s="43" t="s">
        <v>25</v>
      </c>
      <c r="AA20" s="2">
        <v>23.048999999999999</v>
      </c>
      <c r="AB20" s="2">
        <v>27.372</v>
      </c>
      <c r="AC20" s="2">
        <v>36.002000000000002</v>
      </c>
      <c r="AD20" s="2">
        <v>49.03</v>
      </c>
      <c r="AE20" s="2">
        <v>58.15</v>
      </c>
      <c r="AF20" s="2">
        <v>63.899000000000001</v>
      </c>
      <c r="AG20" s="2">
        <v>75.194999999999993</v>
      </c>
      <c r="AH20" s="2">
        <v>83.89</v>
      </c>
      <c r="AI20" s="2">
        <v>85.888999999999996</v>
      </c>
      <c r="AJ20" s="51">
        <v>89.983999999999995</v>
      </c>
    </row>
    <row r="21" spans="1:45" x14ac:dyDescent="0.25">
      <c r="C21" s="43" t="s">
        <v>26</v>
      </c>
      <c r="D21" s="48"/>
      <c r="E21" s="48"/>
      <c r="F21" s="48"/>
      <c r="G21" s="53">
        <f t="shared" ref="G21:V21" si="8">G20/3600</f>
        <v>1.6011111111111111E-2</v>
      </c>
      <c r="H21" s="53">
        <f t="shared" si="8"/>
        <v>1.7816666666666668E-2</v>
      </c>
      <c r="I21" s="53">
        <f t="shared" si="8"/>
        <v>1.9272222222222222E-2</v>
      </c>
      <c r="J21" s="53">
        <f t="shared" si="8"/>
        <v>2.1458333333333333E-2</v>
      </c>
      <c r="K21" s="53">
        <f t="shared" si="8"/>
        <v>2.3963888888888889E-2</v>
      </c>
      <c r="L21" s="53">
        <f t="shared" si="8"/>
        <v>2.5844444444444448E-2</v>
      </c>
      <c r="M21" s="53">
        <f t="shared" si="8"/>
        <v>2.8813888888888889E-2</v>
      </c>
      <c r="N21" s="53">
        <f t="shared" si="8"/>
        <v>3.215277777777778E-2</v>
      </c>
      <c r="O21" s="53">
        <f t="shared" si="8"/>
        <v>3.3394444444444442E-2</v>
      </c>
      <c r="P21" s="53">
        <f t="shared" si="8"/>
        <v>3.8988888888888892E-2</v>
      </c>
      <c r="Q21" s="53">
        <f t="shared" si="8"/>
        <v>3.8088888888888887E-2</v>
      </c>
      <c r="R21" s="53">
        <f t="shared" si="8"/>
        <v>4.3536111111111109E-2</v>
      </c>
      <c r="S21" s="53">
        <f t="shared" si="8"/>
        <v>4.2472222222222224E-2</v>
      </c>
      <c r="T21" s="53">
        <f t="shared" si="8"/>
        <v>4.2444444444444444E-2</v>
      </c>
      <c r="U21" s="53">
        <f t="shared" si="8"/>
        <v>4.2805555555555555E-2</v>
      </c>
      <c r="V21" s="54">
        <f t="shared" si="8"/>
        <v>4.2197222222222219E-2</v>
      </c>
      <c r="Z21" s="43" t="s">
        <v>26</v>
      </c>
      <c r="AA21" s="55">
        <f t="shared" ref="AA21" si="9">AA20/3600</f>
        <v>6.4025000000000002E-3</v>
      </c>
      <c r="AB21" s="55">
        <f>AB20/3600</f>
        <v>7.6033333333333335E-3</v>
      </c>
      <c r="AC21" s="55">
        <f t="shared" ref="AC21" si="10">AC20/3600</f>
        <v>1.0000555555555556E-2</v>
      </c>
      <c r="AD21" s="55">
        <f>AD20/3600</f>
        <v>1.3619444444444444E-2</v>
      </c>
      <c r="AE21" s="55">
        <f>AE20/3600</f>
        <v>1.6152777777777776E-2</v>
      </c>
      <c r="AF21" s="55">
        <f>AF20/3600</f>
        <v>1.7749722222222222E-2</v>
      </c>
      <c r="AG21" s="55">
        <f>AG20/3600</f>
        <v>2.08875E-2</v>
      </c>
      <c r="AH21" s="55">
        <f>AH20/3600</f>
        <v>2.3302777777777776E-2</v>
      </c>
      <c r="AI21" s="55">
        <f>AI20/3600</f>
        <v>2.3858055555555556E-2</v>
      </c>
      <c r="AJ21" s="56">
        <f>AJ20/3600</f>
        <v>2.4995555555555556E-2</v>
      </c>
    </row>
    <row r="22" spans="1:45" x14ac:dyDescent="0.25">
      <c r="C22" s="43" t="s">
        <v>0</v>
      </c>
      <c r="D22" s="48"/>
      <c r="E22" s="48"/>
      <c r="F22" s="48"/>
      <c r="G22" s="49">
        <v>603</v>
      </c>
      <c r="H22" s="49">
        <v>631.70000000000005</v>
      </c>
      <c r="I22" s="49">
        <v>641.6</v>
      </c>
      <c r="J22" s="49">
        <v>682.8</v>
      </c>
      <c r="K22" s="49">
        <v>703.6</v>
      </c>
      <c r="L22" s="49">
        <v>709.8</v>
      </c>
      <c r="M22" s="49">
        <v>728.9</v>
      </c>
      <c r="N22" s="49">
        <v>764.2</v>
      </c>
      <c r="O22" s="49">
        <v>741.3</v>
      </c>
      <c r="P22" s="49">
        <v>788.9</v>
      </c>
      <c r="Q22" s="49">
        <v>746.1</v>
      </c>
      <c r="R22" s="49">
        <v>795.9</v>
      </c>
      <c r="S22" s="49">
        <v>751.6</v>
      </c>
      <c r="T22" s="49">
        <v>733</v>
      </c>
      <c r="U22" s="49">
        <v>712</v>
      </c>
      <c r="V22" s="50">
        <v>672.7</v>
      </c>
      <c r="Z22" s="43" t="s">
        <v>0</v>
      </c>
      <c r="AA22" s="2">
        <v>318.10000000000002</v>
      </c>
      <c r="AB22" s="2">
        <v>327.8</v>
      </c>
      <c r="AC22" s="2">
        <v>379.6</v>
      </c>
      <c r="AD22" s="2">
        <v>409.6</v>
      </c>
      <c r="AE22" s="2">
        <v>443.9</v>
      </c>
      <c r="AF22" s="2">
        <v>438.8</v>
      </c>
      <c r="AG22" s="2">
        <v>474.3</v>
      </c>
      <c r="AH22" s="2">
        <v>489.8</v>
      </c>
      <c r="AI22" s="2">
        <v>449.6</v>
      </c>
      <c r="AJ22" s="51">
        <v>435.6</v>
      </c>
    </row>
    <row r="23" spans="1:45" ht="15.75" thickBot="1" x14ac:dyDescent="0.3">
      <c r="C23" s="43" t="s">
        <v>6</v>
      </c>
      <c r="D23" s="48"/>
      <c r="E23" s="48"/>
      <c r="F23" s="48"/>
      <c r="G23" s="58">
        <f t="shared" ref="G23:V23" si="11">G22*6.28*G19/60/1000</f>
        <v>236.67750000000001</v>
      </c>
      <c r="H23" s="58">
        <f t="shared" si="11"/>
        <v>264.47173333333336</v>
      </c>
      <c r="I23" s="58">
        <f t="shared" si="11"/>
        <v>285.4050666666667</v>
      </c>
      <c r="J23" s="58">
        <f t="shared" si="11"/>
        <v>321.59879999999993</v>
      </c>
      <c r="K23" s="58">
        <f t="shared" si="11"/>
        <v>349.80646666666667</v>
      </c>
      <c r="L23" s="58">
        <f t="shared" si="11"/>
        <v>371.46199999999999</v>
      </c>
      <c r="M23" s="58">
        <f t="shared" si="11"/>
        <v>400.53055000000001</v>
      </c>
      <c r="N23" s="58">
        <f t="shared" si="11"/>
        <v>439.92446666666672</v>
      </c>
      <c r="O23" s="58">
        <f t="shared" si="11"/>
        <v>446.13904999999994</v>
      </c>
      <c r="P23" s="58">
        <f t="shared" si="11"/>
        <v>495.42920000000009</v>
      </c>
      <c r="Q23" s="58">
        <f t="shared" si="11"/>
        <v>488.07375000000008</v>
      </c>
      <c r="R23" s="58">
        <f t="shared" si="11"/>
        <v>541.47730000000001</v>
      </c>
      <c r="S23" s="58">
        <f t="shared" si="11"/>
        <v>531.00540000000001</v>
      </c>
      <c r="T23" s="58">
        <f t="shared" si="11"/>
        <v>537.04466666666667</v>
      </c>
      <c r="U23" s="58">
        <f t="shared" si="11"/>
        <v>540.28933333333339</v>
      </c>
      <c r="V23" s="59">
        <f t="shared" si="11"/>
        <v>528.06950000000006</v>
      </c>
      <c r="Z23" s="43" t="s">
        <v>6</v>
      </c>
      <c r="AA23" s="2">
        <f t="shared" ref="AA23" si="12">AA22*6.28*AA19/60/1000</f>
        <v>99.883399999999995</v>
      </c>
      <c r="AB23" s="2">
        <f>AB22*6.28*AB19/60/1000</f>
        <v>120.08406666666669</v>
      </c>
      <c r="AC23" s="2">
        <f>AC22*6.28*AC19/60/1000</f>
        <v>158.92586666666671</v>
      </c>
      <c r="AD23" s="2">
        <f>AD22*6.28*AD19/60/1000</f>
        <v>192.92160000000004</v>
      </c>
      <c r="AE23" s="2">
        <f>AE22*6.28*AE19/60/1000</f>
        <v>232.30766666666665</v>
      </c>
      <c r="AF23" s="2">
        <f>AF22*6.28*AF19/60/1000</f>
        <v>252.60253333333335</v>
      </c>
      <c r="AG23" s="2">
        <f>AG22*6.28*AG19/60/1000</f>
        <v>297.86040000000003</v>
      </c>
      <c r="AH23" s="2">
        <f>AH22*6.28*AH19/60/1000</f>
        <v>333.22726666666671</v>
      </c>
      <c r="AI23" s="2">
        <f>AI22*6.28*AI19/60/1000</f>
        <v>329.40693333333343</v>
      </c>
      <c r="AJ23" s="51">
        <f>AJ22*6.28*AJ19/60/1000</f>
        <v>341.94600000000003</v>
      </c>
    </row>
    <row r="24" spans="1:45" ht="15.75" thickBot="1" x14ac:dyDescent="0.3">
      <c r="C24" s="60" t="s">
        <v>27</v>
      </c>
      <c r="D24" s="61" t="e">
        <f t="shared" ref="D24:V24" si="13">D20*1000/D23</f>
        <v>#DIV/0!</v>
      </c>
      <c r="E24" s="62" t="e">
        <f t="shared" si="13"/>
        <v>#DIV/0!</v>
      </c>
      <c r="F24" s="62" t="e">
        <f t="shared" si="13"/>
        <v>#DIV/0!</v>
      </c>
      <c r="G24" s="62">
        <f t="shared" si="13"/>
        <v>243.53814790168056</v>
      </c>
      <c r="H24" s="62">
        <f t="shared" si="13"/>
        <v>242.52119193078224</v>
      </c>
      <c r="I24" s="62">
        <f t="shared" si="13"/>
        <v>243.09309154988136</v>
      </c>
      <c r="J24" s="62">
        <f t="shared" si="13"/>
        <v>240.20612017209024</v>
      </c>
      <c r="K24" s="62">
        <f t="shared" si="13"/>
        <v>246.62208455456417</v>
      </c>
      <c r="L24" s="62">
        <f t="shared" si="13"/>
        <v>250.4697654134205</v>
      </c>
      <c r="M24" s="62">
        <f t="shared" si="13"/>
        <v>258.98149342166283</v>
      </c>
      <c r="N24" s="62">
        <f t="shared" si="13"/>
        <v>263.11334960986483</v>
      </c>
      <c r="O24" s="62">
        <f t="shared" si="13"/>
        <v>269.46755725597211</v>
      </c>
      <c r="P24" s="62">
        <f t="shared" si="13"/>
        <v>283.30990583518286</v>
      </c>
      <c r="Q24" s="62">
        <f t="shared" si="13"/>
        <v>280.94114875057301</v>
      </c>
      <c r="R24" s="62">
        <f t="shared" si="13"/>
        <v>289.44888363741194</v>
      </c>
      <c r="S24" s="62">
        <f t="shared" si="13"/>
        <v>287.94434105566535</v>
      </c>
      <c r="T24" s="62">
        <f t="shared" si="13"/>
        <v>284.52009578346679</v>
      </c>
      <c r="U24" s="62">
        <f t="shared" si="13"/>
        <v>285.2175501027844</v>
      </c>
      <c r="V24" s="63">
        <f t="shared" si="13"/>
        <v>287.67046761837219</v>
      </c>
      <c r="Z24" s="60" t="s">
        <v>27</v>
      </c>
      <c r="AA24" s="61">
        <f t="shared" ref="AA24" si="14">AA20*1000/AA23</f>
        <v>230.7590650698715</v>
      </c>
      <c r="AB24" s="62">
        <f>AB20*1000/AB23</f>
        <v>227.94031514588943</v>
      </c>
      <c r="AC24" s="62">
        <f t="shared" ref="AC24" si="15">AC20*1000/AC23</f>
        <v>226.53329351043331</v>
      </c>
      <c r="AD24" s="62">
        <f>AD20*1000/AD23</f>
        <v>254.14468882696386</v>
      </c>
      <c r="AE24" s="62">
        <f>AE20*1000/AE23</f>
        <v>250.31459716496659</v>
      </c>
      <c r="AF24" s="62">
        <f>AF20*1000/AF23</f>
        <v>252.96262534184137</v>
      </c>
      <c r="AG24" s="62">
        <f>AG20*1000/AG23</f>
        <v>252.45047680054145</v>
      </c>
      <c r="AH24" s="62">
        <f>AH20*1000/AH23</f>
        <v>251.75010688401045</v>
      </c>
      <c r="AI24" s="62">
        <f>AI20*1000/AI23</f>
        <v>260.73828844727808</v>
      </c>
      <c r="AJ24" s="63">
        <f>AJ20*1000/AJ23</f>
        <v>263.15266153135286</v>
      </c>
    </row>
    <row r="25" spans="1:45" x14ac:dyDescent="0.25">
      <c r="Z25" s="3"/>
      <c r="AA25" s="3"/>
      <c r="AB25" s="3"/>
      <c r="AC25" s="3"/>
      <c r="AD25" s="3"/>
      <c r="AE25" s="68"/>
      <c r="AF25" s="68"/>
      <c r="AG25" s="68"/>
      <c r="AH25" s="68"/>
      <c r="AI25" s="68"/>
      <c r="AJ25" s="68"/>
    </row>
    <row r="26" spans="1:45" ht="12.75" customHeight="1" x14ac:dyDescent="0.25"/>
    <row r="27" spans="1:45" ht="15.75" customHeight="1" x14ac:dyDescent="0.25">
      <c r="A27" s="23" t="s">
        <v>14</v>
      </c>
      <c r="B27" s="23"/>
      <c r="C27" s="23"/>
      <c r="D27" s="23"/>
      <c r="E27" s="24" t="s">
        <v>15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  <c r="X27" s="25" t="s">
        <v>14</v>
      </c>
      <c r="Y27" s="26"/>
      <c r="Z27" s="26"/>
      <c r="AA27" s="26"/>
      <c r="AB27" s="24" t="s">
        <v>15</v>
      </c>
      <c r="AC27" s="21"/>
      <c r="AD27" s="21"/>
      <c r="AE27" s="21"/>
      <c r="AF27" s="21"/>
      <c r="AG27" s="21"/>
      <c r="AH27" s="21"/>
      <c r="AI27" s="21"/>
      <c r="AJ27" s="21"/>
    </row>
    <row r="28" spans="1:45" x14ac:dyDescent="0.25">
      <c r="A28" s="27" t="s">
        <v>16</v>
      </c>
      <c r="B28" s="27"/>
      <c r="C28" s="27"/>
      <c r="D28" s="27"/>
      <c r="E28" s="69" t="s">
        <v>34</v>
      </c>
      <c r="F28" s="69"/>
      <c r="G28" s="69"/>
      <c r="H28" s="69"/>
      <c r="I28" s="69"/>
      <c r="J28" s="69"/>
      <c r="X28" s="30" t="s">
        <v>16</v>
      </c>
      <c r="Y28" s="70"/>
      <c r="Z28" s="70"/>
      <c r="AA28" s="70"/>
      <c r="AB28" s="28" t="s">
        <v>18</v>
      </c>
      <c r="AC28" s="28"/>
      <c r="AD28" s="28"/>
      <c r="AE28" s="28"/>
      <c r="AF28" s="28"/>
      <c r="AG28" s="28"/>
      <c r="AH28" s="28"/>
    </row>
    <row r="29" spans="1:45" x14ac:dyDescent="0.25">
      <c r="A29" s="64" t="s">
        <v>30</v>
      </c>
      <c r="B29" s="65"/>
      <c r="C29" s="33" t="s">
        <v>20</v>
      </c>
      <c r="D29" s="34"/>
      <c r="E29" s="34"/>
      <c r="F29" s="34"/>
      <c r="G29" s="34"/>
      <c r="H29" s="34"/>
      <c r="I29" s="35" t="s">
        <v>31</v>
      </c>
      <c r="J29" s="36" t="s">
        <v>22</v>
      </c>
      <c r="K29" s="36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8"/>
      <c r="X29" s="64" t="s">
        <v>30</v>
      </c>
      <c r="Y29" s="65"/>
      <c r="Z29" s="39" t="s">
        <v>23</v>
      </c>
      <c r="AA29" s="40"/>
      <c r="AB29" s="40"/>
      <c r="AC29" s="40"/>
      <c r="AD29" s="40"/>
      <c r="AE29" s="40"/>
      <c r="AF29" s="35" t="s">
        <v>31</v>
      </c>
      <c r="AG29" s="36" t="s">
        <v>22</v>
      </c>
      <c r="AH29" s="36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8"/>
    </row>
    <row r="30" spans="1:45" x14ac:dyDescent="0.25">
      <c r="C30" s="41"/>
      <c r="V30" s="42"/>
      <c r="Z30" s="41"/>
      <c r="AS30" s="42"/>
    </row>
    <row r="31" spans="1:45" x14ac:dyDescent="0.25">
      <c r="C31" s="43" t="s">
        <v>24</v>
      </c>
      <c r="D31" s="3">
        <v>3000</v>
      </c>
      <c r="E31" s="3">
        <v>3250</v>
      </c>
      <c r="F31" s="3">
        <v>3500</v>
      </c>
      <c r="G31" s="3">
        <v>3750</v>
      </c>
      <c r="H31" s="44">
        <v>4000</v>
      </c>
      <c r="I31" s="44">
        <v>4250</v>
      </c>
      <c r="J31" s="44">
        <v>4500</v>
      </c>
      <c r="K31" s="44">
        <v>4750</v>
      </c>
      <c r="L31" s="44">
        <v>5000</v>
      </c>
      <c r="M31" s="44">
        <v>5250</v>
      </c>
      <c r="N31" s="44">
        <v>5500</v>
      </c>
      <c r="O31" s="44">
        <v>5750</v>
      </c>
      <c r="P31" s="44">
        <v>6000</v>
      </c>
      <c r="Q31" s="44">
        <v>6250</v>
      </c>
      <c r="R31" s="44">
        <v>6500</v>
      </c>
      <c r="S31" s="44">
        <v>6750</v>
      </c>
      <c r="T31" s="44">
        <v>7000</v>
      </c>
      <c r="U31" s="44">
        <v>7250</v>
      </c>
      <c r="V31" s="45">
        <v>7500</v>
      </c>
      <c r="Z31" s="43" t="s">
        <v>24</v>
      </c>
      <c r="AA31" s="3">
        <v>3000</v>
      </c>
      <c r="AB31" s="3">
        <v>3250</v>
      </c>
      <c r="AC31" s="3">
        <v>3500</v>
      </c>
      <c r="AD31" s="3">
        <v>3750</v>
      </c>
      <c r="AE31" s="46">
        <v>4000</v>
      </c>
      <c r="AF31" s="46">
        <v>4250</v>
      </c>
      <c r="AG31" s="46">
        <v>4500</v>
      </c>
      <c r="AH31" s="46">
        <v>4750</v>
      </c>
      <c r="AI31" s="46">
        <v>5000</v>
      </c>
      <c r="AJ31" s="46">
        <v>5250</v>
      </c>
      <c r="AK31" s="46">
        <v>5500</v>
      </c>
      <c r="AL31" s="46">
        <v>5750</v>
      </c>
      <c r="AM31" s="46">
        <v>6000</v>
      </c>
      <c r="AN31" s="46">
        <v>6250</v>
      </c>
      <c r="AO31" s="46">
        <v>6500</v>
      </c>
      <c r="AP31" s="46">
        <v>6750</v>
      </c>
      <c r="AQ31" s="46">
        <v>7000</v>
      </c>
      <c r="AR31" s="46">
        <v>7250</v>
      </c>
      <c r="AS31" s="47">
        <v>7500</v>
      </c>
    </row>
    <row r="32" spans="1:45" x14ac:dyDescent="0.25">
      <c r="C32" s="43" t="s">
        <v>25</v>
      </c>
      <c r="D32" s="48"/>
      <c r="E32" s="48"/>
      <c r="F32" s="48"/>
      <c r="G32" s="49">
        <v>51.16</v>
      </c>
      <c r="H32" s="49">
        <v>57.65</v>
      </c>
      <c r="I32" s="49">
        <v>65.022000000000006</v>
      </c>
      <c r="J32" s="49">
        <v>73.168000000000006</v>
      </c>
      <c r="K32" s="49">
        <v>82.26</v>
      </c>
      <c r="L32" s="49">
        <v>90.66</v>
      </c>
      <c r="M32" s="49">
        <v>101.65300000000001</v>
      </c>
      <c r="N32" s="49">
        <v>109.17</v>
      </c>
      <c r="O32" s="49">
        <v>115.38</v>
      </c>
      <c r="P32" s="49">
        <v>123.98</v>
      </c>
      <c r="Q32" s="49">
        <v>128.25</v>
      </c>
      <c r="R32" s="49">
        <v>135.102</v>
      </c>
      <c r="S32" s="49">
        <v>137.22999999999999</v>
      </c>
      <c r="T32" s="49">
        <v>136.43</v>
      </c>
      <c r="U32" s="49">
        <v>138.66</v>
      </c>
      <c r="V32" s="50">
        <v>137.9</v>
      </c>
      <c r="Z32" s="43" t="s">
        <v>25</v>
      </c>
      <c r="AA32" s="2">
        <v>37.113999999999997</v>
      </c>
      <c r="AB32" s="2">
        <v>40.051000000000002</v>
      </c>
      <c r="AC32" s="2">
        <v>44</v>
      </c>
      <c r="AD32" s="2">
        <v>50.008000000000003</v>
      </c>
      <c r="AE32" s="2">
        <v>56.975999999999999</v>
      </c>
      <c r="AF32" s="2">
        <v>62.247</v>
      </c>
      <c r="AG32" s="2">
        <v>69.706999999999994</v>
      </c>
      <c r="AH32" s="2">
        <v>77.369</v>
      </c>
      <c r="AI32" s="2">
        <v>86.769000000000005</v>
      </c>
      <c r="AJ32" s="2">
        <v>94.855000000000004</v>
      </c>
      <c r="AK32" s="2">
        <v>102.096</v>
      </c>
      <c r="AL32" s="2">
        <v>108.989</v>
      </c>
      <c r="AM32" s="2">
        <v>113.291</v>
      </c>
      <c r="AN32" s="2">
        <v>119.12</v>
      </c>
      <c r="AO32" s="2">
        <v>124.247</v>
      </c>
      <c r="AP32" s="2">
        <v>129.18799999999999</v>
      </c>
      <c r="AQ32" s="2">
        <v>131.35400000000001</v>
      </c>
      <c r="AR32" s="2">
        <v>131.898</v>
      </c>
      <c r="AS32" s="51">
        <v>134.63499999999999</v>
      </c>
    </row>
    <row r="33" spans="3:45" x14ac:dyDescent="0.25">
      <c r="C33" s="43" t="s">
        <v>26</v>
      </c>
      <c r="D33" s="52"/>
      <c r="E33" s="52"/>
      <c r="F33" s="52"/>
      <c r="G33" s="53">
        <f>G32/3600</f>
        <v>1.421111111111111E-2</v>
      </c>
      <c r="H33" s="53">
        <f>H32/3600</f>
        <v>1.601388888888889E-2</v>
      </c>
      <c r="I33" s="53">
        <f>I32/3600</f>
        <v>1.8061666666666667E-2</v>
      </c>
      <c r="J33" s="53">
        <f>J32/3600</f>
        <v>2.0324444444444447E-2</v>
      </c>
      <c r="K33" s="53">
        <f>K32/3600</f>
        <v>2.2850000000000002E-2</v>
      </c>
      <c r="L33" s="53">
        <f>L32/3600</f>
        <v>2.5183333333333332E-2</v>
      </c>
      <c r="M33" s="53">
        <f>M32/3600</f>
        <v>2.8236944444444446E-2</v>
      </c>
      <c r="N33" s="53">
        <f>N32/3600</f>
        <v>3.0325000000000001E-2</v>
      </c>
      <c r="O33" s="53">
        <f>O32/3600</f>
        <v>3.2050000000000002E-2</v>
      </c>
      <c r="P33" s="53">
        <f>P32/3600</f>
        <v>3.4438888888888887E-2</v>
      </c>
      <c r="Q33" s="53">
        <f>Q32/3600</f>
        <v>3.5624999999999997E-2</v>
      </c>
      <c r="R33" s="53">
        <f>R32/3600</f>
        <v>3.7528333333333337E-2</v>
      </c>
      <c r="S33" s="53">
        <f>S32/3600</f>
        <v>3.8119444444444442E-2</v>
      </c>
      <c r="T33" s="53">
        <f>T32/3600</f>
        <v>3.7897222222222221E-2</v>
      </c>
      <c r="U33" s="53">
        <f>U32/3600</f>
        <v>3.8516666666666664E-2</v>
      </c>
      <c r="V33" s="54">
        <f>V32/3600</f>
        <v>3.8305555555555558E-2</v>
      </c>
      <c r="Z33" s="43" t="s">
        <v>26</v>
      </c>
      <c r="AA33" s="55">
        <f t="shared" ref="AA33:AS33" si="16">AA32/3600</f>
        <v>1.0309444444444444E-2</v>
      </c>
      <c r="AB33" s="55">
        <f t="shared" si="16"/>
        <v>1.1125277777777779E-2</v>
      </c>
      <c r="AC33" s="55">
        <f t="shared" si="16"/>
        <v>1.2222222222222223E-2</v>
      </c>
      <c r="AD33" s="55">
        <f t="shared" si="16"/>
        <v>1.3891111111111111E-2</v>
      </c>
      <c r="AE33" s="55">
        <f t="shared" si="16"/>
        <v>1.5826666666666666E-2</v>
      </c>
      <c r="AF33" s="55">
        <f t="shared" si="16"/>
        <v>1.7290833333333332E-2</v>
      </c>
      <c r="AG33" s="55">
        <f t="shared" si="16"/>
        <v>1.9363055555555553E-2</v>
      </c>
      <c r="AH33" s="55">
        <f t="shared" si="16"/>
        <v>2.149138888888889E-2</v>
      </c>
      <c r="AI33" s="55">
        <f t="shared" si="16"/>
        <v>2.4102500000000002E-2</v>
      </c>
      <c r="AJ33" s="55">
        <f t="shared" si="16"/>
        <v>2.6348611111111111E-2</v>
      </c>
      <c r="AK33" s="55">
        <f t="shared" si="16"/>
        <v>2.836E-2</v>
      </c>
      <c r="AL33" s="55">
        <f t="shared" si="16"/>
        <v>3.0274722222222224E-2</v>
      </c>
      <c r="AM33" s="55">
        <f t="shared" si="16"/>
        <v>3.1469722222222218E-2</v>
      </c>
      <c r="AN33" s="55">
        <f t="shared" si="16"/>
        <v>3.308888888888889E-2</v>
      </c>
      <c r="AO33" s="55">
        <f t="shared" si="16"/>
        <v>3.4513055555555554E-2</v>
      </c>
      <c r="AP33" s="55">
        <f t="shared" si="16"/>
        <v>3.5885555555555552E-2</v>
      </c>
      <c r="AQ33" s="55">
        <f t="shared" si="16"/>
        <v>3.6487222222222226E-2</v>
      </c>
      <c r="AR33" s="55">
        <f t="shared" si="16"/>
        <v>3.6638333333333335E-2</v>
      </c>
      <c r="AS33" s="56">
        <f t="shared" si="16"/>
        <v>3.7398611111111112E-2</v>
      </c>
    </row>
    <row r="34" spans="3:45" x14ac:dyDescent="0.25">
      <c r="C34" s="43" t="s">
        <v>0</v>
      </c>
      <c r="D34" s="48"/>
      <c r="E34" s="48"/>
      <c r="F34" s="48"/>
      <c r="G34" s="49">
        <v>595.29999999999995</v>
      </c>
      <c r="H34" s="49">
        <v>625.6</v>
      </c>
      <c r="I34" s="49">
        <v>658.4</v>
      </c>
      <c r="J34" s="49">
        <v>691.8</v>
      </c>
      <c r="K34" s="49">
        <v>713.1</v>
      </c>
      <c r="L34" s="49">
        <v>720.9</v>
      </c>
      <c r="M34" s="49">
        <v>755.1</v>
      </c>
      <c r="N34" s="49">
        <v>763.5</v>
      </c>
      <c r="O34" s="49">
        <v>762.8</v>
      </c>
      <c r="P34" s="49">
        <v>782.9</v>
      </c>
      <c r="Q34" s="49">
        <v>781.2</v>
      </c>
      <c r="R34" s="49">
        <v>783.1</v>
      </c>
      <c r="S34" s="49">
        <v>767.6</v>
      </c>
      <c r="T34" s="49">
        <v>734.9</v>
      </c>
      <c r="U34" s="49">
        <v>718.1</v>
      </c>
      <c r="V34" s="50">
        <v>680</v>
      </c>
      <c r="Z34" s="43" t="s">
        <v>0</v>
      </c>
      <c r="AA34" s="2">
        <v>531.79999999999995</v>
      </c>
      <c r="AB34" s="2">
        <v>538.6</v>
      </c>
      <c r="AC34" s="2">
        <v>552.20000000000005</v>
      </c>
      <c r="AD34" s="2">
        <v>588.5</v>
      </c>
      <c r="AE34" s="2">
        <v>629</v>
      </c>
      <c r="AF34" s="2">
        <v>635.79999999999995</v>
      </c>
      <c r="AG34" s="2">
        <v>671.4</v>
      </c>
      <c r="AH34" s="2">
        <v>692.1</v>
      </c>
      <c r="AI34" s="2">
        <v>717.5</v>
      </c>
      <c r="AJ34" s="2">
        <v>739.7</v>
      </c>
      <c r="AK34" s="2">
        <v>759.3</v>
      </c>
      <c r="AL34" s="2">
        <v>770</v>
      </c>
      <c r="AM34" s="2">
        <v>775.8</v>
      </c>
      <c r="AN34" s="2">
        <v>775.2</v>
      </c>
      <c r="AO34" s="2">
        <v>768.8</v>
      </c>
      <c r="AP34" s="2">
        <v>764.3</v>
      </c>
      <c r="AQ34" s="2">
        <v>740.2</v>
      </c>
      <c r="AR34" s="2">
        <v>717.5</v>
      </c>
      <c r="AS34" s="51">
        <v>699</v>
      </c>
    </row>
    <row r="35" spans="3:45" ht="15.75" thickBot="1" x14ac:dyDescent="0.3">
      <c r="C35" s="43" t="s">
        <v>6</v>
      </c>
      <c r="D35" s="57"/>
      <c r="E35" s="57"/>
      <c r="F35" s="57"/>
      <c r="G35" s="58">
        <f>G34*6.28*G31/60/1000</f>
        <v>233.65525</v>
      </c>
      <c r="H35" s="58">
        <f>H34*6.28*H31/60/1000</f>
        <v>261.91786666666673</v>
      </c>
      <c r="I35" s="58">
        <f>I34*6.28*I31/60/1000</f>
        <v>292.87826666666666</v>
      </c>
      <c r="J35" s="58">
        <f>J34*6.28*J31/60/1000</f>
        <v>325.83780000000002</v>
      </c>
      <c r="K35" s="58">
        <f>K34*6.28*K31/60/1000</f>
        <v>354.52954999999997</v>
      </c>
      <c r="L35" s="58">
        <f>L34*6.28*L31/60/1000</f>
        <v>377.27100000000007</v>
      </c>
      <c r="M35" s="58">
        <f>M34*6.28*M31/60/1000</f>
        <v>414.92745000000002</v>
      </c>
      <c r="N35" s="58">
        <f>N34*6.28*N31/60/1000</f>
        <v>439.5215</v>
      </c>
      <c r="O35" s="58">
        <f>O34*6.28*O31/60/1000</f>
        <v>459.07846666666666</v>
      </c>
      <c r="P35" s="58">
        <f>P34*6.28*P31/60/1000</f>
        <v>491.66120000000001</v>
      </c>
      <c r="Q35" s="58">
        <f>Q34*6.28*Q31/60/1000</f>
        <v>511.03500000000008</v>
      </c>
      <c r="R35" s="58">
        <f>R34*6.28*R31/60/1000</f>
        <v>532.76903333333348</v>
      </c>
      <c r="S35" s="58">
        <f>S34*6.28*S31/60/1000</f>
        <v>542.30939999999998</v>
      </c>
      <c r="T35" s="58">
        <f>T34*6.28*T31/60/1000</f>
        <v>538.43673333333345</v>
      </c>
      <c r="U35" s="58">
        <f>U34*6.28*U31/60/1000</f>
        <v>544.91821666666669</v>
      </c>
      <c r="V35" s="59">
        <f>V34*6.28*V31/60/1000</f>
        <v>533.80000000000007</v>
      </c>
      <c r="Z35" s="43" t="s">
        <v>6</v>
      </c>
      <c r="AA35" s="2">
        <f t="shared" ref="AA35:AS35" si="17">AA34*6.28*AA31/60/1000</f>
        <v>166.98520000000002</v>
      </c>
      <c r="AB35" s="2">
        <f t="shared" si="17"/>
        <v>183.21376666666669</v>
      </c>
      <c r="AC35" s="2">
        <f t="shared" si="17"/>
        <v>202.28926666666666</v>
      </c>
      <c r="AD35" s="2">
        <f t="shared" si="17"/>
        <v>230.98625000000001</v>
      </c>
      <c r="AE35" s="2">
        <f t="shared" si="17"/>
        <v>263.34133333333335</v>
      </c>
      <c r="AF35" s="2">
        <f t="shared" si="17"/>
        <v>282.82503333333335</v>
      </c>
      <c r="AG35" s="2">
        <f t="shared" si="17"/>
        <v>316.2294</v>
      </c>
      <c r="AH35" s="2">
        <f t="shared" si="17"/>
        <v>344.08904999999999</v>
      </c>
      <c r="AI35" s="2">
        <f t="shared" si="17"/>
        <v>375.49166666666673</v>
      </c>
      <c r="AJ35" s="2">
        <f t="shared" si="17"/>
        <v>406.46515000000011</v>
      </c>
      <c r="AK35" s="2">
        <f t="shared" si="17"/>
        <v>437.10369999999995</v>
      </c>
      <c r="AL35" s="2">
        <f t="shared" si="17"/>
        <v>463.41166666666675</v>
      </c>
      <c r="AM35" s="2">
        <f t="shared" si="17"/>
        <v>487.20240000000007</v>
      </c>
      <c r="AN35" s="2">
        <f t="shared" si="17"/>
        <v>507.11000000000007</v>
      </c>
      <c r="AO35" s="2">
        <f t="shared" si="17"/>
        <v>523.04026666666675</v>
      </c>
      <c r="AP35" s="2">
        <f t="shared" si="17"/>
        <v>539.97794999999996</v>
      </c>
      <c r="AQ35" s="2">
        <f t="shared" si="17"/>
        <v>542.31986666666671</v>
      </c>
      <c r="AR35" s="2">
        <f t="shared" si="17"/>
        <v>544.46291666666673</v>
      </c>
      <c r="AS35" s="51">
        <f t="shared" si="17"/>
        <v>548.71500000000015</v>
      </c>
    </row>
    <row r="36" spans="3:45" ht="15.75" thickBot="1" x14ac:dyDescent="0.3">
      <c r="C36" s="60" t="s">
        <v>27</v>
      </c>
      <c r="D36" s="61" t="e">
        <f>D32*1000/D35</f>
        <v>#DIV/0!</v>
      </c>
      <c r="E36" s="62" t="e">
        <f>E32*1000/E35</f>
        <v>#DIV/0!</v>
      </c>
      <c r="F36" s="62" t="e">
        <f>F32*1000/F35</f>
        <v>#DIV/0!</v>
      </c>
      <c r="G36" s="62">
        <f>G32*1000/G35</f>
        <v>218.95506306834537</v>
      </c>
      <c r="H36" s="62">
        <f>H32*1000/H35</f>
        <v>220.10716845586194</v>
      </c>
      <c r="I36" s="62">
        <f>I32*1000/I35</f>
        <v>222.01032784041792</v>
      </c>
      <c r="J36" s="62">
        <f>J32*1000/J35</f>
        <v>224.55344346174689</v>
      </c>
      <c r="K36" s="62">
        <f>K32*1000/K35</f>
        <v>232.02579305448589</v>
      </c>
      <c r="L36" s="62">
        <f>L32*1000/L35</f>
        <v>240.30471464809111</v>
      </c>
      <c r="M36" s="62">
        <f>M32*1000/M35</f>
        <v>244.98981689449565</v>
      </c>
      <c r="N36" s="62">
        <f>N32*1000/N35</f>
        <v>248.38375369578051</v>
      </c>
      <c r="O36" s="62">
        <f>O32*1000/O35</f>
        <v>251.32958388958053</v>
      </c>
      <c r="P36" s="62">
        <f>P32*1000/P35</f>
        <v>252.16551560302094</v>
      </c>
      <c r="Q36" s="62">
        <f>Q32*1000/Q35</f>
        <v>250.9612844521412</v>
      </c>
      <c r="R36" s="62">
        <f>R32*1000/R35</f>
        <v>253.58455831172864</v>
      </c>
      <c r="S36" s="62">
        <f>S32*1000/S35</f>
        <v>253.04743012014913</v>
      </c>
      <c r="T36" s="62">
        <f>T32*1000/T35</f>
        <v>253.38167244904409</v>
      </c>
      <c r="U36" s="62">
        <f>U32*1000/U35</f>
        <v>254.46020294238036</v>
      </c>
      <c r="V36" s="63">
        <f>V32*1000/V35</f>
        <v>258.3364556013488</v>
      </c>
      <c r="Z36" s="60" t="s">
        <v>27</v>
      </c>
      <c r="AA36" s="61">
        <f t="shared" ref="AA36:AS36" si="18">AA32*1000/AA35</f>
        <v>222.25921818221013</v>
      </c>
      <c r="AB36" s="62">
        <f t="shared" si="18"/>
        <v>218.60256862066223</v>
      </c>
      <c r="AC36" s="62">
        <f t="shared" si="18"/>
        <v>217.51030455067809</v>
      </c>
      <c r="AD36" s="62">
        <f t="shared" si="18"/>
        <v>216.49773525480413</v>
      </c>
      <c r="AE36" s="62">
        <f t="shared" si="18"/>
        <v>216.35798406124368</v>
      </c>
      <c r="AF36" s="62">
        <f t="shared" si="18"/>
        <v>220.09013582131047</v>
      </c>
      <c r="AG36" s="62">
        <f t="shared" si="18"/>
        <v>220.43174986259976</v>
      </c>
      <c r="AH36" s="62">
        <f t="shared" si="18"/>
        <v>224.85167720390987</v>
      </c>
      <c r="AI36" s="62">
        <f t="shared" si="18"/>
        <v>231.08102709780505</v>
      </c>
      <c r="AJ36" s="62">
        <f t="shared" si="18"/>
        <v>233.365640326114</v>
      </c>
      <c r="AK36" s="62">
        <f t="shared" si="18"/>
        <v>233.57386359346768</v>
      </c>
      <c r="AL36" s="62">
        <f t="shared" si="18"/>
        <v>235.18829550399749</v>
      </c>
      <c r="AM36" s="62">
        <f t="shared" si="18"/>
        <v>232.53374778120957</v>
      </c>
      <c r="AN36" s="62">
        <f t="shared" si="18"/>
        <v>234.89972589773419</v>
      </c>
      <c r="AO36" s="62">
        <f t="shared" si="18"/>
        <v>237.5476763803016</v>
      </c>
      <c r="AP36" s="62">
        <f t="shared" si="18"/>
        <v>239.24680628162685</v>
      </c>
      <c r="AQ36" s="62">
        <f t="shared" si="18"/>
        <v>242.20761228490244</v>
      </c>
      <c r="AR36" s="62">
        <f t="shared" si="18"/>
        <v>242.25341334082285</v>
      </c>
      <c r="AS36" s="63">
        <f t="shared" si="18"/>
        <v>245.3641690130577</v>
      </c>
    </row>
    <row r="38" spans="3:45" x14ac:dyDescent="0.25">
      <c r="X38" s="25" t="s">
        <v>14</v>
      </c>
      <c r="Y38" s="26"/>
      <c r="Z38" s="26"/>
      <c r="AA38" s="26"/>
      <c r="AB38" s="24" t="s">
        <v>15</v>
      </c>
    </row>
    <row r="39" spans="3:45" x14ac:dyDescent="0.25"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X39" s="30" t="s">
        <v>28</v>
      </c>
      <c r="Y39" s="70"/>
      <c r="Z39" s="70"/>
      <c r="AA39" s="70"/>
      <c r="AB39" s="28" t="s">
        <v>35</v>
      </c>
      <c r="AC39" s="28"/>
      <c r="AD39" s="28"/>
      <c r="AE39" s="28"/>
      <c r="AF39" s="28"/>
      <c r="AG39" s="28"/>
    </row>
    <row r="40" spans="3:45" x14ac:dyDescent="0.25"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X40" s="64" t="s">
        <v>30</v>
      </c>
      <c r="Y40" s="65"/>
      <c r="Z40" s="39" t="s">
        <v>36</v>
      </c>
      <c r="AA40" s="40"/>
      <c r="AB40" s="40"/>
      <c r="AC40" s="40"/>
      <c r="AD40" s="40"/>
      <c r="AE40" s="40"/>
      <c r="AF40" s="35" t="s">
        <v>31</v>
      </c>
      <c r="AG40" s="36" t="s">
        <v>22</v>
      </c>
      <c r="AH40" s="36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8"/>
    </row>
    <row r="41" spans="3:45" x14ac:dyDescent="0.25"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Z41" s="41"/>
      <c r="AS41" s="42"/>
    </row>
    <row r="42" spans="3:45" x14ac:dyDescent="0.25"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Z42" s="43" t="s">
        <v>24</v>
      </c>
      <c r="AA42" s="3">
        <v>3000</v>
      </c>
      <c r="AB42" s="3">
        <v>3250</v>
      </c>
      <c r="AC42" s="3">
        <v>3500</v>
      </c>
      <c r="AD42" s="3">
        <v>3750</v>
      </c>
      <c r="AE42" s="46">
        <v>4000</v>
      </c>
      <c r="AF42" s="46">
        <v>4250</v>
      </c>
      <c r="AG42" s="46">
        <v>4500</v>
      </c>
      <c r="AH42" s="46">
        <v>4750</v>
      </c>
      <c r="AI42" s="46">
        <v>5000</v>
      </c>
      <c r="AJ42" s="46">
        <v>5250</v>
      </c>
      <c r="AK42" s="46">
        <v>5500</v>
      </c>
      <c r="AL42" s="46">
        <v>5750</v>
      </c>
      <c r="AM42" s="46">
        <v>6000</v>
      </c>
      <c r="AN42" s="46">
        <v>6250</v>
      </c>
      <c r="AO42" s="46">
        <v>6500</v>
      </c>
      <c r="AP42" s="46">
        <v>6750</v>
      </c>
      <c r="AQ42" s="46">
        <v>7000</v>
      </c>
      <c r="AR42" s="46">
        <v>7250</v>
      </c>
      <c r="AS42" s="47">
        <v>7500</v>
      </c>
    </row>
    <row r="43" spans="3:45" x14ac:dyDescent="0.25"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Z43" s="43" t="s">
        <v>25</v>
      </c>
      <c r="AA43" s="48"/>
      <c r="AB43" s="48"/>
      <c r="AC43" s="48"/>
      <c r="AD43" s="48"/>
      <c r="AE43" s="2">
        <v>58.018999999999998</v>
      </c>
      <c r="AF43" s="2">
        <v>63.94</v>
      </c>
      <c r="AG43" s="2">
        <f>(69.336+70.152)/2</f>
        <v>69.744</v>
      </c>
      <c r="AH43" s="2">
        <v>79.11</v>
      </c>
      <c r="AI43" s="2">
        <v>88.828999999999994</v>
      </c>
      <c r="AJ43" s="2">
        <v>97.86</v>
      </c>
      <c r="AK43" s="2">
        <v>105.496</v>
      </c>
      <c r="AL43" s="2">
        <f>(110.897+112.091)/2</f>
        <v>111.494</v>
      </c>
      <c r="AM43" s="2">
        <v>119.038</v>
      </c>
      <c r="AN43" s="2">
        <v>123.277</v>
      </c>
      <c r="AO43" s="2">
        <v>128.50800000000001</v>
      </c>
      <c r="AP43" s="2">
        <v>132.52500000000001</v>
      </c>
      <c r="AQ43" s="2">
        <v>134.27000000000001</v>
      </c>
      <c r="AR43" s="2">
        <v>134.71</v>
      </c>
      <c r="AS43" s="51">
        <v>137.44999999999999</v>
      </c>
    </row>
    <row r="44" spans="3:45" x14ac:dyDescent="0.25"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Z44" s="43" t="s">
        <v>26</v>
      </c>
      <c r="AA44" s="48"/>
      <c r="AB44" s="48"/>
      <c r="AC44" s="48"/>
      <c r="AD44" s="48"/>
      <c r="AE44" s="55">
        <f t="shared" ref="AE44:AS44" si="19">AE43/3600</f>
        <v>1.6116388888888888E-2</v>
      </c>
      <c r="AF44" s="55">
        <f t="shared" si="19"/>
        <v>1.7761111111111109E-2</v>
      </c>
      <c r="AG44" s="55">
        <f t="shared" si="19"/>
        <v>1.9373333333333333E-2</v>
      </c>
      <c r="AH44" s="55">
        <f t="shared" si="19"/>
        <v>2.1975000000000001E-2</v>
      </c>
      <c r="AI44" s="55">
        <f t="shared" si="19"/>
        <v>2.4674722222222219E-2</v>
      </c>
      <c r="AJ44" s="55">
        <f t="shared" si="19"/>
        <v>2.7183333333333334E-2</v>
      </c>
      <c r="AK44" s="55">
        <f t="shared" si="19"/>
        <v>2.9304444444444442E-2</v>
      </c>
      <c r="AL44" s="55">
        <f t="shared" si="19"/>
        <v>3.0970555555555557E-2</v>
      </c>
      <c r="AM44" s="55">
        <f t="shared" si="19"/>
        <v>3.3066111111111109E-2</v>
      </c>
      <c r="AN44" s="55">
        <f t="shared" si="19"/>
        <v>3.4243611111111114E-2</v>
      </c>
      <c r="AO44" s="55">
        <f t="shared" si="19"/>
        <v>3.5696666666666668E-2</v>
      </c>
      <c r="AP44" s="55">
        <f t="shared" si="19"/>
        <v>3.6812500000000005E-2</v>
      </c>
      <c r="AQ44" s="55">
        <f t="shared" si="19"/>
        <v>3.7297222222222225E-2</v>
      </c>
      <c r="AR44" s="55">
        <f t="shared" si="19"/>
        <v>3.741944444444445E-2</v>
      </c>
      <c r="AS44" s="56">
        <f t="shared" si="19"/>
        <v>3.8180555555555551E-2</v>
      </c>
    </row>
    <row r="45" spans="3:45" x14ac:dyDescent="0.25">
      <c r="Z45" s="43" t="s">
        <v>0</v>
      </c>
      <c r="AA45" s="48"/>
      <c r="AB45" s="48"/>
      <c r="AC45" s="48"/>
      <c r="AD45" s="48"/>
      <c r="AE45" s="2">
        <v>620.6</v>
      </c>
      <c r="AF45" s="2">
        <v>632.1</v>
      </c>
      <c r="AG45" s="2">
        <f>(662.6+664.3)/2</f>
        <v>663.45</v>
      </c>
      <c r="AH45" s="2">
        <v>686.7</v>
      </c>
      <c r="AI45" s="2">
        <v>716.6</v>
      </c>
      <c r="AJ45" s="2">
        <v>739.2</v>
      </c>
      <c r="AK45" s="2">
        <v>757.4</v>
      </c>
      <c r="AL45" s="2">
        <f>(764.2+771.7)/2</f>
        <v>767.95</v>
      </c>
      <c r="AM45" s="2">
        <v>779.5</v>
      </c>
      <c r="AN45" s="2">
        <v>776.3</v>
      </c>
      <c r="AO45" s="2">
        <v>771</v>
      </c>
      <c r="AP45" s="2">
        <v>763.3</v>
      </c>
      <c r="AQ45" s="2">
        <v>738.4</v>
      </c>
      <c r="AR45" s="2">
        <v>716.8</v>
      </c>
      <c r="AS45" s="51">
        <v>699</v>
      </c>
    </row>
    <row r="46" spans="3:45" ht="15.75" thickBot="1" x14ac:dyDescent="0.3">
      <c r="Z46" s="43" t="s">
        <v>6</v>
      </c>
      <c r="AA46" s="48"/>
      <c r="AB46" s="48"/>
      <c r="AC46" s="48"/>
      <c r="AD46" s="48"/>
      <c r="AE46" s="2">
        <f t="shared" ref="AE46:AS46" si="20">AE45*6.28*AE42/60/1000</f>
        <v>259.82453333333336</v>
      </c>
      <c r="AF46" s="2">
        <f t="shared" si="20"/>
        <v>281.17915000000005</v>
      </c>
      <c r="AG46" s="2">
        <f t="shared" si="20"/>
        <v>312.48495000000003</v>
      </c>
      <c r="AH46" s="2">
        <f t="shared" si="20"/>
        <v>341.40435000000002</v>
      </c>
      <c r="AI46" s="2">
        <f t="shared" si="20"/>
        <v>375.02066666666673</v>
      </c>
      <c r="AJ46" s="2">
        <f t="shared" si="20"/>
        <v>406.19040000000007</v>
      </c>
      <c r="AK46" s="2">
        <f t="shared" si="20"/>
        <v>436.00993333333332</v>
      </c>
      <c r="AL46" s="2">
        <f t="shared" si="20"/>
        <v>462.17790833333339</v>
      </c>
      <c r="AM46" s="2">
        <f t="shared" si="20"/>
        <v>489.52600000000001</v>
      </c>
      <c r="AN46" s="2">
        <f t="shared" si="20"/>
        <v>507.82958333333329</v>
      </c>
      <c r="AO46" s="2">
        <f t="shared" si="20"/>
        <v>524.53700000000003</v>
      </c>
      <c r="AP46" s="2">
        <f t="shared" si="20"/>
        <v>539.27145000000007</v>
      </c>
      <c r="AQ46" s="2">
        <f t="shared" si="20"/>
        <v>541.0010666666667</v>
      </c>
      <c r="AR46" s="2">
        <f t="shared" si="20"/>
        <v>543.93173333333323</v>
      </c>
      <c r="AS46" s="51">
        <f t="shared" si="20"/>
        <v>548.71500000000015</v>
      </c>
    </row>
    <row r="47" spans="3:45" ht="15.75" thickBot="1" x14ac:dyDescent="0.3">
      <c r="Z47" s="60" t="s">
        <v>27</v>
      </c>
      <c r="AA47" s="61" t="e">
        <f t="shared" ref="AA47:AS47" si="21">AA43*1000/AA46</f>
        <v>#DIV/0!</v>
      </c>
      <c r="AB47" s="62" t="e">
        <f t="shared" si="21"/>
        <v>#DIV/0!</v>
      </c>
      <c r="AC47" s="62" t="e">
        <f t="shared" si="21"/>
        <v>#DIV/0!</v>
      </c>
      <c r="AD47" s="62" t="e">
        <f t="shared" si="21"/>
        <v>#DIV/0!</v>
      </c>
      <c r="AE47" s="62">
        <f t="shared" si="21"/>
        <v>223.30069934376223</v>
      </c>
      <c r="AF47" s="62">
        <f t="shared" si="21"/>
        <v>227.39950668461722</v>
      </c>
      <c r="AG47" s="62">
        <f t="shared" si="21"/>
        <v>223.19154890499524</v>
      </c>
      <c r="AH47" s="62">
        <f t="shared" si="21"/>
        <v>231.71936737185683</v>
      </c>
      <c r="AI47" s="62">
        <f t="shared" si="21"/>
        <v>236.86427947970864</v>
      </c>
      <c r="AJ47" s="62">
        <f t="shared" si="21"/>
        <v>240.92149888328228</v>
      </c>
      <c r="AK47" s="62">
        <f t="shared" si="21"/>
        <v>241.95779025829535</v>
      </c>
      <c r="AL47" s="62">
        <f t="shared" si="21"/>
        <v>241.23610841128294</v>
      </c>
      <c r="AM47" s="62">
        <f t="shared" si="21"/>
        <v>243.16992355870781</v>
      </c>
      <c r="AN47" s="62">
        <f t="shared" si="21"/>
        <v>242.75269508882164</v>
      </c>
      <c r="AO47" s="62">
        <f t="shared" si="21"/>
        <v>244.99320352997026</v>
      </c>
      <c r="AP47" s="62">
        <f t="shared" si="21"/>
        <v>245.74822197614947</v>
      </c>
      <c r="AQ47" s="62">
        <f t="shared" si="21"/>
        <v>248.1880503994077</v>
      </c>
      <c r="AR47" s="62">
        <f t="shared" si="21"/>
        <v>247.65975534184687</v>
      </c>
      <c r="AS47" s="63">
        <f t="shared" si="21"/>
        <v>250.49433676863211</v>
      </c>
    </row>
    <row r="49" spans="24:36" x14ac:dyDescent="0.25">
      <c r="X49" s="72" t="s">
        <v>14</v>
      </c>
      <c r="Y49" s="73"/>
      <c r="Z49" s="73"/>
      <c r="AA49" s="73"/>
      <c r="AB49" s="73"/>
      <c r="AC49" s="24" t="s">
        <v>15</v>
      </c>
    </row>
    <row r="50" spans="24:36" x14ac:dyDescent="0.25">
      <c r="X50" s="74" t="s">
        <v>16</v>
      </c>
      <c r="Y50" s="75"/>
      <c r="Z50" s="75"/>
      <c r="AA50" s="75"/>
      <c r="AB50" s="75"/>
      <c r="AC50" s="69" t="s">
        <v>37</v>
      </c>
      <c r="AD50" s="69"/>
      <c r="AE50" s="69"/>
      <c r="AF50" s="69"/>
      <c r="AG50" s="69"/>
      <c r="AH50" s="69"/>
    </row>
    <row r="51" spans="24:36" x14ac:dyDescent="0.25">
      <c r="X51" s="64" t="s">
        <v>38</v>
      </c>
      <c r="Y51" s="65"/>
      <c r="Z51" s="39" t="s">
        <v>23</v>
      </c>
      <c r="AA51" s="40"/>
      <c r="AB51" s="40"/>
      <c r="AC51" s="40"/>
      <c r="AD51" s="40"/>
      <c r="AE51" s="40"/>
      <c r="AF51" s="35" t="s">
        <v>31</v>
      </c>
      <c r="AG51" s="36" t="s">
        <v>22</v>
      </c>
      <c r="AH51" s="36"/>
      <c r="AI51" s="37"/>
      <c r="AJ51" s="38"/>
    </row>
    <row r="52" spans="24:36" x14ac:dyDescent="0.25">
      <c r="Z52" s="41"/>
      <c r="AJ52" s="42"/>
    </row>
    <row r="53" spans="24:36" x14ac:dyDescent="0.25">
      <c r="Z53" s="43" t="s">
        <v>24</v>
      </c>
      <c r="AA53" s="3">
        <v>3000</v>
      </c>
      <c r="AB53" s="3">
        <v>3500</v>
      </c>
      <c r="AC53" s="46">
        <v>4000</v>
      </c>
      <c r="AD53" s="46">
        <v>4500</v>
      </c>
      <c r="AE53" s="46">
        <v>5000</v>
      </c>
      <c r="AF53" s="46">
        <v>5500</v>
      </c>
      <c r="AG53" s="46">
        <v>6000</v>
      </c>
      <c r="AH53" s="46">
        <v>6500</v>
      </c>
      <c r="AI53" s="46">
        <v>7000</v>
      </c>
      <c r="AJ53" s="47">
        <v>7500</v>
      </c>
    </row>
    <row r="54" spans="24:36" x14ac:dyDescent="0.25">
      <c r="Z54" s="43" t="s">
        <v>25</v>
      </c>
      <c r="AA54" s="2">
        <v>37.969000000000001</v>
      </c>
      <c r="AB54" s="2">
        <v>43.082000000000001</v>
      </c>
      <c r="AC54" s="2">
        <v>53.392000000000003</v>
      </c>
      <c r="AD54" s="2">
        <v>66.605999999999995</v>
      </c>
      <c r="AE54" s="2">
        <v>82.272999999999996</v>
      </c>
      <c r="AF54" s="2">
        <v>99.216999999999999</v>
      </c>
      <c r="AG54" s="2">
        <v>108.503</v>
      </c>
      <c r="AH54" s="2">
        <v>119.373</v>
      </c>
      <c r="AI54" s="2">
        <v>129.31399999999999</v>
      </c>
      <c r="AJ54" s="51">
        <v>128.56</v>
      </c>
    </row>
    <row r="55" spans="24:36" x14ac:dyDescent="0.25">
      <c r="Z55" s="43" t="s">
        <v>26</v>
      </c>
      <c r="AA55" s="55">
        <f t="shared" ref="AA55" si="22">AA54/3600</f>
        <v>1.0546944444444446E-2</v>
      </c>
      <c r="AB55" s="55">
        <f>AB54/3600</f>
        <v>1.1967222222222223E-2</v>
      </c>
      <c r="AC55" s="55">
        <f t="shared" ref="AC55" si="23">AC54/3600</f>
        <v>1.4831111111111113E-2</v>
      </c>
      <c r="AD55" s="55">
        <f>AD54/3600</f>
        <v>1.8501666666666666E-2</v>
      </c>
      <c r="AE55" s="55">
        <f>AE54/3600</f>
        <v>2.2853611111111109E-2</v>
      </c>
      <c r="AF55" s="55">
        <f>AF54/3600</f>
        <v>2.7560277777777777E-2</v>
      </c>
      <c r="AG55" s="55">
        <f>AG54/3600</f>
        <v>3.0139722222222221E-2</v>
      </c>
      <c r="AH55" s="55">
        <f>AH54/3600</f>
        <v>3.315916666666667E-2</v>
      </c>
      <c r="AI55" s="55">
        <f>AI54/3600</f>
        <v>3.5920555555555553E-2</v>
      </c>
      <c r="AJ55" s="56">
        <f>AJ54/3600</f>
        <v>3.571111111111111E-2</v>
      </c>
    </row>
    <row r="56" spans="24:36" x14ac:dyDescent="0.25">
      <c r="Z56" s="43" t="s">
        <v>0</v>
      </c>
      <c r="AA56" s="2">
        <v>543.79999999999995</v>
      </c>
      <c r="AB56" s="2">
        <v>545.1</v>
      </c>
      <c r="AC56" s="2">
        <v>590.6</v>
      </c>
      <c r="AD56" s="2">
        <v>641.4</v>
      </c>
      <c r="AE56" s="2">
        <v>686.4</v>
      </c>
      <c r="AF56" s="2">
        <v>727.6</v>
      </c>
      <c r="AG56" s="2">
        <v>733.8</v>
      </c>
      <c r="AH56" s="2">
        <v>734.4</v>
      </c>
      <c r="AI56" s="2">
        <v>726</v>
      </c>
      <c r="AJ56" s="51">
        <v>652.1</v>
      </c>
    </row>
    <row r="57" spans="24:36" ht="15.75" thickBot="1" x14ac:dyDescent="0.3">
      <c r="Z57" s="43" t="s">
        <v>6</v>
      </c>
      <c r="AA57" s="2">
        <f t="shared" ref="AA57" si="24">AA56*6.28*AA53/60/1000</f>
        <v>170.75320000000002</v>
      </c>
      <c r="AB57" s="2">
        <f>AB56*6.28*AB53/60/1000</f>
        <v>199.6883</v>
      </c>
      <c r="AC57" s="2">
        <f>AC56*6.28*AC53/60/1000</f>
        <v>247.26453333333336</v>
      </c>
      <c r="AD57" s="2">
        <f>AD56*6.28*AD53/60/1000</f>
        <v>302.0994</v>
      </c>
      <c r="AE57" s="2">
        <f>AE56*6.28*AE53/60/1000</f>
        <v>359.21600000000001</v>
      </c>
      <c r="AF57" s="2">
        <f>AF56*6.28*AF53/60/1000</f>
        <v>418.85506666666669</v>
      </c>
      <c r="AG57" s="2">
        <f>AG56*6.28*AG53/60/1000</f>
        <v>460.82640000000004</v>
      </c>
      <c r="AH57" s="2">
        <f>AH56*6.28*AH53/60/1000</f>
        <v>499.63679999999999</v>
      </c>
      <c r="AI57" s="2">
        <f>AI56*6.28*AI53/60/1000</f>
        <v>531.91600000000005</v>
      </c>
      <c r="AJ57" s="51">
        <f>AJ56*6.28*AJ53/60/1000</f>
        <v>511.89850000000001</v>
      </c>
    </row>
    <row r="58" spans="24:36" ht="15.75" thickBot="1" x14ac:dyDescent="0.3">
      <c r="Z58" s="60" t="s">
        <v>27</v>
      </c>
      <c r="AA58" s="61">
        <f t="shared" ref="AA58" si="25">AA54*1000/AA57</f>
        <v>222.36186496065665</v>
      </c>
      <c r="AB58" s="62">
        <f>AB54*1000/AB57</f>
        <v>215.74624051584394</v>
      </c>
      <c r="AC58" s="62">
        <f t="shared" ref="AC58" si="26">AC54*1000/AC57</f>
        <v>215.9306847619068</v>
      </c>
      <c r="AD58" s="62">
        <f>AD54*1000/AD57</f>
        <v>220.47710124548411</v>
      </c>
      <c r="AE58" s="62">
        <f>AE54*1000/AE57</f>
        <v>229.0348982227963</v>
      </c>
      <c r="AF58" s="62">
        <f>AF54*1000/AF57</f>
        <v>236.87668574619127</v>
      </c>
      <c r="AG58" s="62">
        <f>AG54*1000/AG57</f>
        <v>235.45309036114247</v>
      </c>
      <c r="AH58" s="62">
        <f>AH54*1000/AH57</f>
        <v>238.91955116196405</v>
      </c>
      <c r="AI58" s="62">
        <f>AI54*1000/AI57</f>
        <v>243.10981433158616</v>
      </c>
      <c r="AJ58" s="63">
        <f>AJ54*1000/AJ57</f>
        <v>251.14353724419976</v>
      </c>
    </row>
    <row r="60" spans="24:36" x14ac:dyDescent="0.25">
      <c r="X60" s="72" t="s">
        <v>14</v>
      </c>
      <c r="Y60" s="73"/>
      <c r="Z60" s="73"/>
      <c r="AA60" s="73"/>
      <c r="AB60" s="73"/>
      <c r="AC60" s="24" t="s">
        <v>15</v>
      </c>
    </row>
    <row r="61" spans="24:36" x14ac:dyDescent="0.25">
      <c r="X61" s="74" t="s">
        <v>16</v>
      </c>
      <c r="Y61" s="75"/>
      <c r="Z61" s="75"/>
      <c r="AA61" s="75"/>
      <c r="AB61" s="75"/>
      <c r="AC61" s="28" t="s">
        <v>39</v>
      </c>
      <c r="AD61" s="28"/>
      <c r="AE61" s="28"/>
      <c r="AF61" s="28"/>
      <c r="AG61" s="28"/>
      <c r="AH61" s="28"/>
    </row>
    <row r="62" spans="24:36" x14ac:dyDescent="0.25">
      <c r="X62" s="64" t="s">
        <v>40</v>
      </c>
      <c r="Y62" s="65"/>
      <c r="Z62" s="39" t="s">
        <v>23</v>
      </c>
      <c r="AA62" s="40"/>
      <c r="AB62" s="40"/>
      <c r="AC62" s="40"/>
      <c r="AD62" s="40"/>
      <c r="AE62" s="40"/>
      <c r="AF62" s="35" t="s">
        <v>31</v>
      </c>
      <c r="AG62" s="36" t="s">
        <v>22</v>
      </c>
      <c r="AH62" s="36"/>
      <c r="AI62" s="37"/>
      <c r="AJ62" s="38"/>
    </row>
    <row r="63" spans="24:36" x14ac:dyDescent="0.25">
      <c r="Z63" s="41"/>
      <c r="AJ63" s="42"/>
    </row>
    <row r="64" spans="24:36" x14ac:dyDescent="0.25">
      <c r="Z64" s="43" t="s">
        <v>24</v>
      </c>
      <c r="AA64" s="3">
        <v>3000</v>
      </c>
      <c r="AB64" s="3">
        <v>3500</v>
      </c>
      <c r="AC64" s="46">
        <v>4000</v>
      </c>
      <c r="AD64" s="46">
        <v>4500</v>
      </c>
      <c r="AE64" s="46">
        <v>5000</v>
      </c>
      <c r="AF64" s="46">
        <v>5500</v>
      </c>
      <c r="AG64" s="46">
        <v>6000</v>
      </c>
      <c r="AH64" s="46">
        <v>6500</v>
      </c>
      <c r="AI64" s="46">
        <v>7000</v>
      </c>
      <c r="AJ64" s="47">
        <v>7500</v>
      </c>
    </row>
    <row r="65" spans="26:36" x14ac:dyDescent="0.25">
      <c r="Z65" s="43" t="s">
        <v>25</v>
      </c>
      <c r="AA65" s="2">
        <v>36.609000000000002</v>
      </c>
      <c r="AB65" s="2">
        <v>41.661000000000001</v>
      </c>
      <c r="AC65" s="2">
        <v>51.097000000000001</v>
      </c>
      <c r="AD65" s="2">
        <v>63.823</v>
      </c>
      <c r="AE65" s="2">
        <v>78.617999999999995</v>
      </c>
      <c r="AF65" s="2">
        <v>95.159000000000006</v>
      </c>
      <c r="AG65" s="2">
        <v>105.932</v>
      </c>
      <c r="AH65" s="2">
        <v>113.502</v>
      </c>
      <c r="AI65" s="2">
        <v>122.675</v>
      </c>
      <c r="AJ65" s="51">
        <v>125.788</v>
      </c>
    </row>
    <row r="66" spans="26:36" x14ac:dyDescent="0.25">
      <c r="Z66" s="43" t="s">
        <v>26</v>
      </c>
      <c r="AA66" s="55">
        <f t="shared" ref="AA66" si="27">AA65/3600</f>
        <v>1.0169166666666667E-2</v>
      </c>
      <c r="AB66" s="55">
        <f>AB65/3600</f>
        <v>1.1572500000000001E-2</v>
      </c>
      <c r="AC66" s="55">
        <f t="shared" ref="AC66" si="28">AC65/3600</f>
        <v>1.4193611111111112E-2</v>
      </c>
      <c r="AD66" s="55">
        <f>AD65/3600</f>
        <v>1.7728611111111112E-2</v>
      </c>
      <c r="AE66" s="55">
        <f>AE65/3600</f>
        <v>2.1838333333333331E-2</v>
      </c>
      <c r="AF66" s="55">
        <f>AF65/3600</f>
        <v>2.6433055555555557E-2</v>
      </c>
      <c r="AG66" s="55">
        <f>AG65/3600</f>
        <v>2.9425555555555555E-2</v>
      </c>
      <c r="AH66" s="55">
        <f>AH65/3600</f>
        <v>3.1528333333333332E-2</v>
      </c>
      <c r="AI66" s="55">
        <f>AI65/3600</f>
        <v>3.4076388888888885E-2</v>
      </c>
      <c r="AJ66" s="56">
        <f>AJ65/3600</f>
        <v>3.494111111111111E-2</v>
      </c>
    </row>
    <row r="67" spans="26:36" x14ac:dyDescent="0.25">
      <c r="Z67" s="43" t="s">
        <v>0</v>
      </c>
      <c r="AA67" s="2">
        <v>529.20000000000005</v>
      </c>
      <c r="AB67" s="2">
        <v>525</v>
      </c>
      <c r="AC67" s="2">
        <v>558.5</v>
      </c>
      <c r="AD67" s="2">
        <v>610.9</v>
      </c>
      <c r="AE67" s="2">
        <v>653.79999999999995</v>
      </c>
      <c r="AF67" s="2">
        <v>695.4</v>
      </c>
      <c r="AG67" s="2">
        <v>711.5</v>
      </c>
      <c r="AH67" s="2">
        <v>695.5</v>
      </c>
      <c r="AI67" s="2">
        <v>688.1</v>
      </c>
      <c r="AJ67" s="51">
        <v>638.6</v>
      </c>
    </row>
    <row r="68" spans="26:36" ht="15.75" thickBot="1" x14ac:dyDescent="0.3">
      <c r="Z68" s="43" t="s">
        <v>6</v>
      </c>
      <c r="AA68" s="2">
        <f t="shared" ref="AA68" si="29">AA67*6.28*AA64/60/1000</f>
        <v>166.16879999999998</v>
      </c>
      <c r="AB68" s="2">
        <f>AB67*6.28*AB64/60/1000</f>
        <v>192.32499999999999</v>
      </c>
      <c r="AC68" s="2">
        <f>AC67*6.28*AC64/60/1000</f>
        <v>233.82533333333333</v>
      </c>
      <c r="AD68" s="2">
        <f>AD67*6.28*AD64/60/1000</f>
        <v>287.73390000000001</v>
      </c>
      <c r="AE68" s="2">
        <f>AE67*6.28*AE64/60/1000</f>
        <v>342.15533333333326</v>
      </c>
      <c r="AF68" s="2">
        <f>AF67*6.28*AF64/60/1000</f>
        <v>400.3186</v>
      </c>
      <c r="AG68" s="2">
        <f>AG67*6.28*AG64/60/1000</f>
        <v>446.822</v>
      </c>
      <c r="AH68" s="2">
        <f>AH67*6.28*AH64/60/1000</f>
        <v>473.17183333333332</v>
      </c>
      <c r="AI68" s="2">
        <f>AI67*6.28*AI64/60/1000</f>
        <v>504.14793333333336</v>
      </c>
      <c r="AJ68" s="51">
        <f>AJ67*6.28*AJ64/60/1000</f>
        <v>501.30100000000004</v>
      </c>
    </row>
    <row r="69" spans="26:36" ht="15.75" thickBot="1" x14ac:dyDescent="0.3">
      <c r="Z69" s="60" t="s">
        <v>27</v>
      </c>
      <c r="AA69" s="61">
        <f t="shared" ref="AA69" si="30">AA65*1000/AA68</f>
        <v>220.31211635397261</v>
      </c>
      <c r="AB69" s="62">
        <f>AB65*1000/AB68</f>
        <v>216.61770440660342</v>
      </c>
      <c r="AC69" s="62">
        <f t="shared" ref="AC69" si="31">AC65*1000/AC68</f>
        <v>218.52636440876097</v>
      </c>
      <c r="AD69" s="62">
        <f>AD65*1000/AD68</f>
        <v>221.81258447475253</v>
      </c>
      <c r="AE69" s="62">
        <f>AE65*1000/AE68</f>
        <v>229.77283222240197</v>
      </c>
      <c r="AF69" s="62">
        <f>AF65*1000/AF68</f>
        <v>237.70816544622207</v>
      </c>
      <c r="AG69" s="62">
        <f>AG65*1000/AG68</f>
        <v>237.07874724163091</v>
      </c>
      <c r="AH69" s="62">
        <f>AH65*1000/AH68</f>
        <v>239.87480235333817</v>
      </c>
      <c r="AI69" s="62">
        <f>AI65*1000/AI68</f>
        <v>243.33135551879678</v>
      </c>
      <c r="AJ69" s="63">
        <f>AJ65*1000/AJ68</f>
        <v>250.92309809874703</v>
      </c>
    </row>
  </sheetData>
  <mergeCells count="54">
    <mergeCell ref="X62:Y62"/>
    <mergeCell ref="Z62:AE62"/>
    <mergeCell ref="AG62:AH62"/>
    <mergeCell ref="X50:AB50"/>
    <mergeCell ref="AC50:AH50"/>
    <mergeCell ref="X51:Y51"/>
    <mergeCell ref="Z51:AE51"/>
    <mergeCell ref="AG51:AH51"/>
    <mergeCell ref="X61:AB61"/>
    <mergeCell ref="AC61:AH61"/>
    <mergeCell ref="X38:AA38"/>
    <mergeCell ref="X39:AA39"/>
    <mergeCell ref="AB39:AG39"/>
    <mergeCell ref="X40:Y40"/>
    <mergeCell ref="Z40:AE40"/>
    <mergeCell ref="AG40:AH40"/>
    <mergeCell ref="A29:B29"/>
    <mergeCell ref="C29:H29"/>
    <mergeCell ref="J29:K29"/>
    <mergeCell ref="X29:Y29"/>
    <mergeCell ref="Z29:AE29"/>
    <mergeCell ref="AG29:AH29"/>
    <mergeCell ref="A27:D27"/>
    <mergeCell ref="X27:AA27"/>
    <mergeCell ref="A28:D28"/>
    <mergeCell ref="E28:J28"/>
    <mergeCell ref="X28:AA28"/>
    <mergeCell ref="AB28:AH28"/>
    <mergeCell ref="A17:B17"/>
    <mergeCell ref="C17:H17"/>
    <mergeCell ref="J17:K17"/>
    <mergeCell ref="X17:Y17"/>
    <mergeCell ref="Z17:AE17"/>
    <mergeCell ref="AG17:AH17"/>
    <mergeCell ref="A15:D15"/>
    <mergeCell ref="X15:AA15"/>
    <mergeCell ref="A16:D16"/>
    <mergeCell ref="E16:J16"/>
    <mergeCell ref="X16:AA16"/>
    <mergeCell ref="AB16:AH16"/>
    <mergeCell ref="A6:B6"/>
    <mergeCell ref="C6:H6"/>
    <mergeCell ref="J6:K6"/>
    <mergeCell ref="X6:Y6"/>
    <mergeCell ref="Z6:AE6"/>
    <mergeCell ref="AG6:AH6"/>
    <mergeCell ref="A1:W2"/>
    <mergeCell ref="X1:AT2"/>
    <mergeCell ref="A4:D4"/>
    <mergeCell ref="X4:AA4"/>
    <mergeCell ref="A5:D5"/>
    <mergeCell ref="E5:J5"/>
    <mergeCell ref="X5:AA5"/>
    <mergeCell ref="AB5:AH5"/>
  </mergeCells>
  <hyperlinks>
    <hyperlink ref="A28:D28" r:id="rId1" display="\\pe.local\shares\P074\TestData\20210513_PIPO_Engine5ADelivery" xr:uid="{6027421A-F0EA-40DC-AFC0-A3FB577A03FF}"/>
    <hyperlink ref="A16:D16" r:id="rId2" display="\\pe.local\shares\P074\TestData\20210510_PIPO_KnockControl" xr:uid="{A601CCF6-62B0-44B0-AD40-2FA0915A068F}"/>
    <hyperlink ref="A5:D5" r:id="rId3" display="\\pe.local\shares\P074\TestData\20210513_PIPO_Engine5ADelivery" xr:uid="{1A5B1A4B-FBE4-448C-935F-ED88182CC20E}"/>
    <hyperlink ref="X5:AA5" r:id="rId4" display="\\pe.local\shares\P074\TestData\20210513_PIPO_Engine5ADelivery" xr:uid="{242FED88-2F6D-4029-A8A4-036A706C2699}"/>
    <hyperlink ref="X16:AA16" r:id="rId5" display="\\pe.local\shares\P074\TestData\20210513_PIPO_Engine5ADelivery" xr:uid="{EC324943-EFB5-4E91-ABD9-B827F1AFFBB6}"/>
    <hyperlink ref="X28:AA28" r:id="rId6" display="\\pe.local\shares\P074\TestData\20210513_PIPO_Engine5ADelivery" xr:uid="{26982D15-1783-4B4D-AB82-C01A1E7E3355}"/>
    <hyperlink ref="X39:AA39" r:id="rId7" display="\\pe.local\shares\P074\TestData\20210510_PIPO_KnockControl" xr:uid="{A2F02061-4131-4062-8DBC-4454A67A2A34}"/>
    <hyperlink ref="X50:AB50" r:id="rId8" display="\\pe.local\shares\P074\TestData\20210513_PIPO_Engine5ADelivery" xr:uid="{EB2021A3-D777-4A21-B6F6-061DCAA3DB0B}"/>
    <hyperlink ref="X61:AB61" r:id="rId9" display="\\pe.local\shares\P074\TestData\20210513_PIPO_Engine5ADelivery" xr:uid="{C6CDA11B-B5E4-45F7-AFBA-5AE48BFC46A4}"/>
  </hyperlinks>
  <pageMargins left="0.7" right="0.7" top="0.75" bottom="0.75" header="0.3" footer="0.3"/>
  <pageSetup paperSize="9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runs</vt:lpstr>
      <vt:lpstr>Intermediate Development runs</vt:lpstr>
      <vt:lpstr>20210513_PIPO_Engine5ADelivery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igor.zanetti</dc:creator>
  <cp:lastModifiedBy>Matteo.Paganini</cp:lastModifiedBy>
  <dcterms:created xsi:type="dcterms:W3CDTF">2021-05-11T12:23:38Z</dcterms:created>
  <dcterms:modified xsi:type="dcterms:W3CDTF">2021-05-14T17:45:50Z</dcterms:modified>
</cp:coreProperties>
</file>